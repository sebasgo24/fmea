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.ruiz\Downloads\"/>
    </mc:Choice>
  </mc:AlternateContent>
  <xr:revisionPtr revIDLastSave="0" documentId="13_ncr:1_{8941B3AC-B6FF-42A2-BD0E-51888DA5F920}" xr6:coauthVersionLast="36" xr6:coauthVersionMax="47" xr10:uidLastSave="{00000000-0000-0000-0000-000000000000}"/>
  <bookViews>
    <workbookView xWindow="0" yWindow="0" windowWidth="24000" windowHeight="9675" tabRatio="695" xr2:uid="{3428F983-9E08-47F0-9BF3-5590511E49CF}"/>
  </bookViews>
  <sheets>
    <sheet name="Indexes" sheetId="5" r:id="rId1"/>
    <sheet name="FMEA" sheetId="4" r:id="rId2"/>
  </sheets>
  <definedNames>
    <definedName name="_xlnm._FilterDatabase" localSheetId="1" hidden="1">FMEA!$D$8:$K$188</definedName>
    <definedName name="_xlnm.Print_Area" localSheetId="1">FMEA!$A$1:$U$50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4" l="1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I11" i="4"/>
  <c r="K11" i="4" s="1"/>
  <c r="I12" i="4"/>
  <c r="K12" i="4" s="1"/>
  <c r="I13" i="4"/>
  <c r="K13" i="4" s="1"/>
  <c r="I14" i="4"/>
  <c r="I15" i="4"/>
  <c r="K15" i="4" s="1"/>
  <c r="I16" i="4"/>
  <c r="K16" i="4" s="1"/>
  <c r="I17" i="4"/>
  <c r="I18" i="4"/>
  <c r="I19" i="4"/>
  <c r="K19" i="4" s="1"/>
  <c r="I20" i="4"/>
  <c r="K20" i="4" s="1"/>
  <c r="I21" i="4"/>
  <c r="K21" i="4" s="1"/>
  <c r="I22" i="4"/>
  <c r="I23" i="4"/>
  <c r="K23" i="4" s="1"/>
  <c r="I24" i="4"/>
  <c r="K24" i="4" s="1"/>
  <c r="I25" i="4"/>
  <c r="I26" i="4"/>
  <c r="I27" i="4"/>
  <c r="K27" i="4" s="1"/>
  <c r="I28" i="4"/>
  <c r="K28" i="4" s="1"/>
  <c r="I29" i="4"/>
  <c r="K29" i="4" s="1"/>
  <c r="I30" i="4"/>
  <c r="I31" i="4"/>
  <c r="K31" i="4" s="1"/>
  <c r="I32" i="4"/>
  <c r="K32" i="4" s="1"/>
  <c r="I33" i="4"/>
  <c r="I34" i="4"/>
  <c r="I35" i="4"/>
  <c r="K35" i="4" s="1"/>
  <c r="I36" i="4"/>
  <c r="K36" i="4" s="1"/>
  <c r="I37" i="4"/>
  <c r="K37" i="4" s="1"/>
  <c r="I38" i="4"/>
  <c r="I39" i="4"/>
  <c r="K39" i="4" s="1"/>
  <c r="I40" i="4"/>
  <c r="K40" i="4" s="1"/>
  <c r="I41" i="4"/>
  <c r="I42" i="4"/>
  <c r="I43" i="4"/>
  <c r="K43" i="4" s="1"/>
  <c r="I44" i="4"/>
  <c r="K44" i="4" s="1"/>
  <c r="I45" i="4"/>
  <c r="K45" i="4" s="1"/>
  <c r="I46" i="4"/>
  <c r="I47" i="4"/>
  <c r="K47" i="4" s="1"/>
  <c r="I48" i="4"/>
  <c r="K48" i="4" s="1"/>
  <c r="I49" i="4"/>
  <c r="I50" i="4"/>
  <c r="I51" i="4"/>
  <c r="K51" i="4" s="1"/>
  <c r="I52" i="4"/>
  <c r="K52" i="4" s="1"/>
  <c r="I53" i="4"/>
  <c r="K53" i="4" s="1"/>
  <c r="I54" i="4"/>
  <c r="I55" i="4"/>
  <c r="K55" i="4" s="1"/>
  <c r="I56" i="4"/>
  <c r="K56" i="4" s="1"/>
  <c r="I57" i="4"/>
  <c r="I58" i="4"/>
  <c r="I59" i="4"/>
  <c r="K59" i="4" s="1"/>
  <c r="I60" i="4"/>
  <c r="K60" i="4" s="1"/>
  <c r="I61" i="4"/>
  <c r="K61" i="4" s="1"/>
  <c r="I62" i="4"/>
  <c r="I63" i="4"/>
  <c r="K63" i="4" s="1"/>
  <c r="I64" i="4"/>
  <c r="K64" i="4" s="1"/>
  <c r="I65" i="4"/>
  <c r="I66" i="4"/>
  <c r="I67" i="4"/>
  <c r="K67" i="4" s="1"/>
  <c r="I68" i="4"/>
  <c r="K68" i="4" s="1"/>
  <c r="I69" i="4"/>
  <c r="K69" i="4" s="1"/>
  <c r="I70" i="4"/>
  <c r="I71" i="4"/>
  <c r="K71" i="4" s="1"/>
  <c r="I72" i="4"/>
  <c r="K72" i="4" s="1"/>
  <c r="I73" i="4"/>
  <c r="I74" i="4"/>
  <c r="I75" i="4"/>
  <c r="K75" i="4" s="1"/>
  <c r="I76" i="4"/>
  <c r="K76" i="4" s="1"/>
  <c r="I77" i="4"/>
  <c r="K77" i="4" s="1"/>
  <c r="I78" i="4"/>
  <c r="I79" i="4"/>
  <c r="K79" i="4" s="1"/>
  <c r="I80" i="4"/>
  <c r="K80" i="4" s="1"/>
  <c r="I81" i="4"/>
  <c r="I82" i="4"/>
  <c r="I83" i="4"/>
  <c r="K83" i="4" s="1"/>
  <c r="I84" i="4"/>
  <c r="K84" i="4" s="1"/>
  <c r="I85" i="4"/>
  <c r="K85" i="4" s="1"/>
  <c r="I86" i="4"/>
  <c r="I87" i="4"/>
  <c r="K87" i="4" s="1"/>
  <c r="I88" i="4"/>
  <c r="K88" i="4" s="1"/>
  <c r="I89" i="4"/>
  <c r="I90" i="4"/>
  <c r="I91" i="4"/>
  <c r="K91" i="4" s="1"/>
  <c r="I92" i="4"/>
  <c r="K92" i="4" s="1"/>
  <c r="I93" i="4"/>
  <c r="K93" i="4" s="1"/>
  <c r="I94" i="4"/>
  <c r="I95" i="4"/>
  <c r="K95" i="4" s="1"/>
  <c r="I96" i="4"/>
  <c r="K96" i="4" s="1"/>
  <c r="I97" i="4"/>
  <c r="I98" i="4"/>
  <c r="I99" i="4"/>
  <c r="K99" i="4" s="1"/>
  <c r="I100" i="4"/>
  <c r="K100" i="4" s="1"/>
  <c r="I101" i="4"/>
  <c r="K101" i="4" s="1"/>
  <c r="I102" i="4"/>
  <c r="I103" i="4"/>
  <c r="K103" i="4" s="1"/>
  <c r="I104" i="4"/>
  <c r="K104" i="4" s="1"/>
  <c r="I105" i="4"/>
  <c r="I106" i="4"/>
  <c r="I107" i="4"/>
  <c r="K107" i="4" s="1"/>
  <c r="I108" i="4"/>
  <c r="K108" i="4" s="1"/>
  <c r="I109" i="4"/>
  <c r="K109" i="4" s="1"/>
  <c r="I110" i="4"/>
  <c r="I111" i="4"/>
  <c r="K111" i="4" s="1"/>
  <c r="I112" i="4"/>
  <c r="K112" i="4" s="1"/>
  <c r="I113" i="4"/>
  <c r="I114" i="4"/>
  <c r="I115" i="4"/>
  <c r="K115" i="4" s="1"/>
  <c r="I116" i="4"/>
  <c r="K116" i="4" s="1"/>
  <c r="I117" i="4"/>
  <c r="K117" i="4" s="1"/>
  <c r="I118" i="4"/>
  <c r="I119" i="4"/>
  <c r="K119" i="4" s="1"/>
  <c r="I120" i="4"/>
  <c r="K120" i="4" s="1"/>
  <c r="I121" i="4"/>
  <c r="I122" i="4"/>
  <c r="I123" i="4"/>
  <c r="K123" i="4" s="1"/>
  <c r="I124" i="4"/>
  <c r="K124" i="4" s="1"/>
  <c r="I125" i="4"/>
  <c r="K125" i="4" s="1"/>
  <c r="I126" i="4"/>
  <c r="I127" i="4"/>
  <c r="K127" i="4" s="1"/>
  <c r="I128" i="4"/>
  <c r="K128" i="4" s="1"/>
  <c r="I129" i="4"/>
  <c r="I130" i="4"/>
  <c r="I131" i="4"/>
  <c r="K131" i="4" s="1"/>
  <c r="I132" i="4"/>
  <c r="K132" i="4" s="1"/>
  <c r="I133" i="4"/>
  <c r="K133" i="4" s="1"/>
  <c r="I134" i="4"/>
  <c r="I135" i="4"/>
  <c r="K135" i="4" s="1"/>
  <c r="I136" i="4"/>
  <c r="K136" i="4" s="1"/>
  <c r="I137" i="4"/>
  <c r="I138" i="4"/>
  <c r="I139" i="4"/>
  <c r="K139" i="4" s="1"/>
  <c r="I140" i="4"/>
  <c r="K140" i="4" s="1"/>
  <c r="I141" i="4"/>
  <c r="K141" i="4" s="1"/>
  <c r="I142" i="4"/>
  <c r="I143" i="4"/>
  <c r="K143" i="4" s="1"/>
  <c r="I144" i="4"/>
  <c r="K144" i="4" s="1"/>
  <c r="I145" i="4"/>
  <c r="I146" i="4"/>
  <c r="I147" i="4"/>
  <c r="K147" i="4" s="1"/>
  <c r="I148" i="4"/>
  <c r="K148" i="4" s="1"/>
  <c r="I149" i="4"/>
  <c r="K149" i="4" s="1"/>
  <c r="I150" i="4"/>
  <c r="I151" i="4"/>
  <c r="K151" i="4" s="1"/>
  <c r="I152" i="4"/>
  <c r="K152" i="4" s="1"/>
  <c r="I153" i="4"/>
  <c r="I154" i="4"/>
  <c r="I155" i="4"/>
  <c r="K155" i="4" s="1"/>
  <c r="I156" i="4"/>
  <c r="K156" i="4" s="1"/>
  <c r="I157" i="4"/>
  <c r="K157" i="4" s="1"/>
  <c r="I158" i="4"/>
  <c r="I159" i="4"/>
  <c r="K159" i="4" s="1"/>
  <c r="I160" i="4"/>
  <c r="K160" i="4" s="1"/>
  <c r="I161" i="4"/>
  <c r="I162" i="4"/>
  <c r="I163" i="4"/>
  <c r="K163" i="4" s="1"/>
  <c r="I164" i="4"/>
  <c r="K164" i="4" s="1"/>
  <c r="I165" i="4"/>
  <c r="K165" i="4" s="1"/>
  <c r="I166" i="4"/>
  <c r="I167" i="4"/>
  <c r="K167" i="4" s="1"/>
  <c r="I168" i="4"/>
  <c r="K168" i="4" s="1"/>
  <c r="I169" i="4"/>
  <c r="I170" i="4"/>
  <c r="I171" i="4"/>
  <c r="K171" i="4" s="1"/>
  <c r="I172" i="4"/>
  <c r="K172" i="4" s="1"/>
  <c r="I173" i="4"/>
  <c r="K173" i="4" s="1"/>
  <c r="I174" i="4"/>
  <c r="I175" i="4"/>
  <c r="K175" i="4" s="1"/>
  <c r="I176" i="4"/>
  <c r="K176" i="4" s="1"/>
  <c r="I177" i="4"/>
  <c r="I178" i="4"/>
  <c r="I179" i="4"/>
  <c r="K179" i="4" s="1"/>
  <c r="I180" i="4"/>
  <c r="K180" i="4" s="1"/>
  <c r="I181" i="4"/>
  <c r="K181" i="4" s="1"/>
  <c r="I182" i="4"/>
  <c r="I183" i="4"/>
  <c r="K183" i="4" s="1"/>
  <c r="I184" i="4"/>
  <c r="K184" i="4" s="1"/>
  <c r="I185" i="4"/>
  <c r="I186" i="4"/>
  <c r="I187" i="4"/>
  <c r="K187" i="4" s="1"/>
  <c r="I188" i="4"/>
  <c r="K188" i="4" s="1"/>
  <c r="I10" i="4"/>
  <c r="K10" i="4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0" i="4"/>
  <c r="E11" i="4"/>
  <c r="E12" i="4"/>
  <c r="E13" i="4"/>
  <c r="E14" i="4"/>
  <c r="E15" i="4"/>
  <c r="E16" i="4"/>
  <c r="E17" i="4"/>
  <c r="K17" i="4" s="1"/>
  <c r="E18" i="4"/>
  <c r="E19" i="4"/>
  <c r="E20" i="4"/>
  <c r="E21" i="4"/>
  <c r="E22" i="4"/>
  <c r="E23" i="4"/>
  <c r="E24" i="4"/>
  <c r="E25" i="4"/>
  <c r="K25" i="4" s="1"/>
  <c r="E26" i="4"/>
  <c r="E27" i="4"/>
  <c r="E28" i="4"/>
  <c r="E29" i="4"/>
  <c r="E30" i="4"/>
  <c r="E31" i="4"/>
  <c r="E32" i="4"/>
  <c r="E33" i="4"/>
  <c r="K33" i="4" s="1"/>
  <c r="E34" i="4"/>
  <c r="E35" i="4"/>
  <c r="E36" i="4"/>
  <c r="E37" i="4"/>
  <c r="E38" i="4"/>
  <c r="E39" i="4"/>
  <c r="E40" i="4"/>
  <c r="E41" i="4"/>
  <c r="K41" i="4" s="1"/>
  <c r="E42" i="4"/>
  <c r="E43" i="4"/>
  <c r="E44" i="4"/>
  <c r="E45" i="4"/>
  <c r="E46" i="4"/>
  <c r="E47" i="4"/>
  <c r="E48" i="4"/>
  <c r="E49" i="4"/>
  <c r="K49" i="4" s="1"/>
  <c r="E50" i="4"/>
  <c r="E51" i="4"/>
  <c r="E52" i="4"/>
  <c r="E53" i="4"/>
  <c r="E54" i="4"/>
  <c r="E55" i="4"/>
  <c r="E56" i="4"/>
  <c r="E57" i="4"/>
  <c r="K57" i="4" s="1"/>
  <c r="E58" i="4"/>
  <c r="E59" i="4"/>
  <c r="E60" i="4"/>
  <c r="E61" i="4"/>
  <c r="E62" i="4"/>
  <c r="E63" i="4"/>
  <c r="E64" i="4"/>
  <c r="E65" i="4"/>
  <c r="K65" i="4" s="1"/>
  <c r="E66" i="4"/>
  <c r="E67" i="4"/>
  <c r="E68" i="4"/>
  <c r="E69" i="4"/>
  <c r="E70" i="4"/>
  <c r="E71" i="4"/>
  <c r="E72" i="4"/>
  <c r="E73" i="4"/>
  <c r="K73" i="4" s="1"/>
  <c r="E74" i="4"/>
  <c r="E75" i="4"/>
  <c r="E76" i="4"/>
  <c r="E77" i="4"/>
  <c r="E78" i="4"/>
  <c r="E79" i="4"/>
  <c r="E80" i="4"/>
  <c r="E81" i="4"/>
  <c r="K81" i="4" s="1"/>
  <c r="E82" i="4"/>
  <c r="E83" i="4"/>
  <c r="E84" i="4"/>
  <c r="E85" i="4"/>
  <c r="E86" i="4"/>
  <c r="E87" i="4"/>
  <c r="E88" i="4"/>
  <c r="E89" i="4"/>
  <c r="K89" i="4" s="1"/>
  <c r="E90" i="4"/>
  <c r="E91" i="4"/>
  <c r="E92" i="4"/>
  <c r="E93" i="4"/>
  <c r="E94" i="4"/>
  <c r="E95" i="4"/>
  <c r="E96" i="4"/>
  <c r="E97" i="4"/>
  <c r="K97" i="4" s="1"/>
  <c r="E98" i="4"/>
  <c r="E99" i="4"/>
  <c r="E100" i="4"/>
  <c r="E101" i="4"/>
  <c r="E102" i="4"/>
  <c r="E103" i="4"/>
  <c r="E104" i="4"/>
  <c r="E105" i="4"/>
  <c r="K105" i="4" s="1"/>
  <c r="E106" i="4"/>
  <c r="E107" i="4"/>
  <c r="E108" i="4"/>
  <c r="E109" i="4"/>
  <c r="E110" i="4"/>
  <c r="E111" i="4"/>
  <c r="E112" i="4"/>
  <c r="E113" i="4"/>
  <c r="K113" i="4" s="1"/>
  <c r="E114" i="4"/>
  <c r="E115" i="4"/>
  <c r="E116" i="4"/>
  <c r="E117" i="4"/>
  <c r="E118" i="4"/>
  <c r="E119" i="4"/>
  <c r="E120" i="4"/>
  <c r="E121" i="4"/>
  <c r="K121" i="4" s="1"/>
  <c r="E122" i="4"/>
  <c r="E123" i="4"/>
  <c r="E124" i="4"/>
  <c r="E125" i="4"/>
  <c r="E126" i="4"/>
  <c r="E127" i="4"/>
  <c r="E128" i="4"/>
  <c r="E129" i="4"/>
  <c r="K129" i="4" s="1"/>
  <c r="E130" i="4"/>
  <c r="E131" i="4"/>
  <c r="E132" i="4"/>
  <c r="E133" i="4"/>
  <c r="E134" i="4"/>
  <c r="E135" i="4"/>
  <c r="E136" i="4"/>
  <c r="E137" i="4"/>
  <c r="K137" i="4" s="1"/>
  <c r="E138" i="4"/>
  <c r="E139" i="4"/>
  <c r="E140" i="4"/>
  <c r="E141" i="4"/>
  <c r="E142" i="4"/>
  <c r="E143" i="4"/>
  <c r="E144" i="4"/>
  <c r="E145" i="4"/>
  <c r="K145" i="4" s="1"/>
  <c r="E146" i="4"/>
  <c r="E147" i="4"/>
  <c r="E148" i="4"/>
  <c r="E149" i="4"/>
  <c r="E150" i="4"/>
  <c r="E151" i="4"/>
  <c r="E152" i="4"/>
  <c r="E153" i="4"/>
  <c r="K153" i="4" s="1"/>
  <c r="E154" i="4"/>
  <c r="E155" i="4"/>
  <c r="E156" i="4"/>
  <c r="E157" i="4"/>
  <c r="E158" i="4"/>
  <c r="E159" i="4"/>
  <c r="E160" i="4"/>
  <c r="E161" i="4"/>
  <c r="K161" i="4" s="1"/>
  <c r="E162" i="4"/>
  <c r="E163" i="4"/>
  <c r="E164" i="4"/>
  <c r="E165" i="4"/>
  <c r="E166" i="4"/>
  <c r="E167" i="4"/>
  <c r="E168" i="4"/>
  <c r="E169" i="4"/>
  <c r="K169" i="4" s="1"/>
  <c r="E170" i="4"/>
  <c r="E171" i="4"/>
  <c r="E172" i="4"/>
  <c r="E173" i="4"/>
  <c r="E174" i="4"/>
  <c r="E175" i="4"/>
  <c r="E176" i="4"/>
  <c r="E177" i="4"/>
  <c r="K177" i="4" s="1"/>
  <c r="E178" i="4"/>
  <c r="E179" i="4"/>
  <c r="E180" i="4"/>
  <c r="E181" i="4"/>
  <c r="E182" i="4"/>
  <c r="E183" i="4"/>
  <c r="E184" i="4"/>
  <c r="E185" i="4"/>
  <c r="K185" i="4" s="1"/>
  <c r="E186" i="4"/>
  <c r="E187" i="4"/>
  <c r="E188" i="4"/>
  <c r="E10" i="4"/>
  <c r="U188" i="4"/>
  <c r="S188" i="4"/>
  <c r="Q188" i="4"/>
  <c r="O188" i="4"/>
  <c r="U187" i="4"/>
  <c r="S187" i="4"/>
  <c r="Q187" i="4"/>
  <c r="O187" i="4"/>
  <c r="U186" i="4"/>
  <c r="S186" i="4"/>
  <c r="Q186" i="4"/>
  <c r="O186" i="4"/>
  <c r="U185" i="4"/>
  <c r="S185" i="4"/>
  <c r="Q185" i="4"/>
  <c r="O185" i="4"/>
  <c r="U184" i="4"/>
  <c r="S184" i="4"/>
  <c r="Q184" i="4"/>
  <c r="O184" i="4"/>
  <c r="U183" i="4"/>
  <c r="S183" i="4"/>
  <c r="Q183" i="4"/>
  <c r="O183" i="4"/>
  <c r="U182" i="4"/>
  <c r="S182" i="4"/>
  <c r="Q182" i="4"/>
  <c r="O182" i="4"/>
  <c r="U181" i="4"/>
  <c r="S181" i="4"/>
  <c r="Q181" i="4"/>
  <c r="O181" i="4"/>
  <c r="U180" i="4"/>
  <c r="S180" i="4"/>
  <c r="Q180" i="4"/>
  <c r="O180" i="4"/>
  <c r="U179" i="4"/>
  <c r="S179" i="4"/>
  <c r="Q179" i="4"/>
  <c r="O179" i="4"/>
  <c r="U178" i="4"/>
  <c r="S178" i="4"/>
  <c r="Q178" i="4"/>
  <c r="O178" i="4"/>
  <c r="U177" i="4"/>
  <c r="S177" i="4"/>
  <c r="Q177" i="4"/>
  <c r="O177" i="4"/>
  <c r="U176" i="4"/>
  <c r="S176" i="4"/>
  <c r="Q176" i="4"/>
  <c r="O176" i="4"/>
  <c r="U175" i="4"/>
  <c r="S175" i="4"/>
  <c r="Q175" i="4"/>
  <c r="O175" i="4"/>
  <c r="U174" i="4"/>
  <c r="S174" i="4"/>
  <c r="Q174" i="4"/>
  <c r="O174" i="4"/>
  <c r="U173" i="4"/>
  <c r="S173" i="4"/>
  <c r="Q173" i="4"/>
  <c r="O173" i="4"/>
  <c r="U172" i="4"/>
  <c r="S172" i="4"/>
  <c r="Q172" i="4"/>
  <c r="O172" i="4"/>
  <c r="U171" i="4"/>
  <c r="S171" i="4"/>
  <c r="Q171" i="4"/>
  <c r="O171" i="4"/>
  <c r="U170" i="4"/>
  <c r="S170" i="4"/>
  <c r="Q170" i="4"/>
  <c r="O170" i="4"/>
  <c r="U169" i="4"/>
  <c r="S169" i="4"/>
  <c r="Q169" i="4"/>
  <c r="O169" i="4"/>
  <c r="U168" i="4"/>
  <c r="S168" i="4"/>
  <c r="Q168" i="4"/>
  <c r="O168" i="4"/>
  <c r="U167" i="4"/>
  <c r="S167" i="4"/>
  <c r="Q167" i="4"/>
  <c r="O167" i="4"/>
  <c r="U166" i="4"/>
  <c r="S166" i="4"/>
  <c r="Q166" i="4"/>
  <c r="O166" i="4"/>
  <c r="U165" i="4"/>
  <c r="S165" i="4"/>
  <c r="Q165" i="4"/>
  <c r="O165" i="4"/>
  <c r="U164" i="4"/>
  <c r="S164" i="4"/>
  <c r="Q164" i="4"/>
  <c r="O164" i="4"/>
  <c r="U163" i="4"/>
  <c r="S163" i="4"/>
  <c r="Q163" i="4"/>
  <c r="O163" i="4"/>
  <c r="U162" i="4"/>
  <c r="S162" i="4"/>
  <c r="Q162" i="4"/>
  <c r="O162" i="4"/>
  <c r="U161" i="4"/>
  <c r="S161" i="4"/>
  <c r="Q161" i="4"/>
  <c r="O161" i="4"/>
  <c r="U160" i="4"/>
  <c r="S160" i="4"/>
  <c r="Q160" i="4"/>
  <c r="O160" i="4"/>
  <c r="U159" i="4"/>
  <c r="S159" i="4"/>
  <c r="Q159" i="4"/>
  <c r="O159" i="4"/>
  <c r="U158" i="4"/>
  <c r="S158" i="4"/>
  <c r="Q158" i="4"/>
  <c r="O158" i="4"/>
  <c r="U157" i="4"/>
  <c r="S157" i="4"/>
  <c r="Q157" i="4"/>
  <c r="O157" i="4"/>
  <c r="U156" i="4"/>
  <c r="S156" i="4"/>
  <c r="Q156" i="4"/>
  <c r="O156" i="4"/>
  <c r="U155" i="4"/>
  <c r="S155" i="4"/>
  <c r="Q155" i="4"/>
  <c r="O155" i="4"/>
  <c r="U154" i="4"/>
  <c r="S154" i="4"/>
  <c r="Q154" i="4"/>
  <c r="O154" i="4"/>
  <c r="U153" i="4"/>
  <c r="S153" i="4"/>
  <c r="Q153" i="4"/>
  <c r="O153" i="4"/>
  <c r="U152" i="4"/>
  <c r="S152" i="4"/>
  <c r="Q152" i="4"/>
  <c r="O152" i="4"/>
  <c r="U151" i="4"/>
  <c r="S151" i="4"/>
  <c r="Q151" i="4"/>
  <c r="O151" i="4"/>
  <c r="U150" i="4"/>
  <c r="S150" i="4"/>
  <c r="Q150" i="4"/>
  <c r="O150" i="4"/>
  <c r="U149" i="4"/>
  <c r="S149" i="4"/>
  <c r="Q149" i="4"/>
  <c r="O149" i="4"/>
  <c r="U148" i="4"/>
  <c r="S148" i="4"/>
  <c r="Q148" i="4"/>
  <c r="O148" i="4"/>
  <c r="U147" i="4"/>
  <c r="S147" i="4"/>
  <c r="Q147" i="4"/>
  <c r="O147" i="4"/>
  <c r="U146" i="4"/>
  <c r="S146" i="4"/>
  <c r="Q146" i="4"/>
  <c r="O146" i="4"/>
  <c r="U145" i="4"/>
  <c r="S145" i="4"/>
  <c r="Q145" i="4"/>
  <c r="O145" i="4"/>
  <c r="U144" i="4"/>
  <c r="S144" i="4"/>
  <c r="Q144" i="4"/>
  <c r="O144" i="4"/>
  <c r="U143" i="4"/>
  <c r="S143" i="4"/>
  <c r="Q143" i="4"/>
  <c r="O143" i="4"/>
  <c r="U142" i="4"/>
  <c r="S142" i="4"/>
  <c r="Q142" i="4"/>
  <c r="O142" i="4"/>
  <c r="U141" i="4"/>
  <c r="S141" i="4"/>
  <c r="Q141" i="4"/>
  <c r="O141" i="4"/>
  <c r="U140" i="4"/>
  <c r="S140" i="4"/>
  <c r="Q140" i="4"/>
  <c r="O140" i="4"/>
  <c r="U139" i="4"/>
  <c r="S139" i="4"/>
  <c r="Q139" i="4"/>
  <c r="O139" i="4"/>
  <c r="U138" i="4"/>
  <c r="S138" i="4"/>
  <c r="Q138" i="4"/>
  <c r="O138" i="4"/>
  <c r="U137" i="4"/>
  <c r="S137" i="4"/>
  <c r="Q137" i="4"/>
  <c r="O137" i="4"/>
  <c r="U136" i="4"/>
  <c r="S136" i="4"/>
  <c r="Q136" i="4"/>
  <c r="O136" i="4"/>
  <c r="U135" i="4"/>
  <c r="S135" i="4"/>
  <c r="Q135" i="4"/>
  <c r="O135" i="4"/>
  <c r="U134" i="4"/>
  <c r="S134" i="4"/>
  <c r="Q134" i="4"/>
  <c r="O134" i="4"/>
  <c r="U133" i="4"/>
  <c r="S133" i="4"/>
  <c r="Q133" i="4"/>
  <c r="O133" i="4"/>
  <c r="U132" i="4"/>
  <c r="S132" i="4"/>
  <c r="Q132" i="4"/>
  <c r="O132" i="4"/>
  <c r="U131" i="4"/>
  <c r="S131" i="4"/>
  <c r="Q131" i="4"/>
  <c r="O131" i="4"/>
  <c r="U130" i="4"/>
  <c r="S130" i="4"/>
  <c r="Q130" i="4"/>
  <c r="O130" i="4"/>
  <c r="U129" i="4"/>
  <c r="S129" i="4"/>
  <c r="Q129" i="4"/>
  <c r="O129" i="4"/>
  <c r="U128" i="4"/>
  <c r="S128" i="4"/>
  <c r="Q128" i="4"/>
  <c r="O128" i="4"/>
  <c r="U127" i="4"/>
  <c r="S127" i="4"/>
  <c r="Q127" i="4"/>
  <c r="O127" i="4"/>
  <c r="U126" i="4"/>
  <c r="S126" i="4"/>
  <c r="Q126" i="4"/>
  <c r="O126" i="4"/>
  <c r="U125" i="4"/>
  <c r="S125" i="4"/>
  <c r="Q125" i="4"/>
  <c r="O125" i="4"/>
  <c r="U124" i="4"/>
  <c r="S124" i="4"/>
  <c r="Q124" i="4"/>
  <c r="O124" i="4"/>
  <c r="U123" i="4"/>
  <c r="S123" i="4"/>
  <c r="Q123" i="4"/>
  <c r="O123" i="4"/>
  <c r="U122" i="4"/>
  <c r="S122" i="4"/>
  <c r="Q122" i="4"/>
  <c r="O122" i="4"/>
  <c r="U121" i="4"/>
  <c r="S121" i="4"/>
  <c r="Q121" i="4"/>
  <c r="O121" i="4"/>
  <c r="U120" i="4"/>
  <c r="S120" i="4"/>
  <c r="Q120" i="4"/>
  <c r="O120" i="4"/>
  <c r="U119" i="4"/>
  <c r="S119" i="4"/>
  <c r="Q119" i="4"/>
  <c r="O119" i="4"/>
  <c r="U118" i="4"/>
  <c r="S118" i="4"/>
  <c r="Q118" i="4"/>
  <c r="O118" i="4"/>
  <c r="U117" i="4"/>
  <c r="S117" i="4"/>
  <c r="Q117" i="4"/>
  <c r="O117" i="4"/>
  <c r="U116" i="4"/>
  <c r="S116" i="4"/>
  <c r="Q116" i="4"/>
  <c r="O116" i="4"/>
  <c r="U115" i="4"/>
  <c r="S115" i="4"/>
  <c r="Q115" i="4"/>
  <c r="O115" i="4"/>
  <c r="U114" i="4"/>
  <c r="S114" i="4"/>
  <c r="Q114" i="4"/>
  <c r="O114" i="4"/>
  <c r="U113" i="4"/>
  <c r="S113" i="4"/>
  <c r="Q113" i="4"/>
  <c r="O113" i="4"/>
  <c r="U112" i="4"/>
  <c r="S112" i="4"/>
  <c r="Q112" i="4"/>
  <c r="O112" i="4"/>
  <c r="U111" i="4"/>
  <c r="S111" i="4"/>
  <c r="Q111" i="4"/>
  <c r="O111" i="4"/>
  <c r="U110" i="4"/>
  <c r="S110" i="4"/>
  <c r="Q110" i="4"/>
  <c r="O110" i="4"/>
  <c r="U109" i="4"/>
  <c r="S109" i="4"/>
  <c r="Q109" i="4"/>
  <c r="O109" i="4"/>
  <c r="U108" i="4"/>
  <c r="S108" i="4"/>
  <c r="Q108" i="4"/>
  <c r="O108" i="4"/>
  <c r="U107" i="4"/>
  <c r="S107" i="4"/>
  <c r="Q107" i="4"/>
  <c r="O107" i="4"/>
  <c r="U106" i="4"/>
  <c r="S106" i="4"/>
  <c r="Q106" i="4"/>
  <c r="O106" i="4"/>
  <c r="U105" i="4"/>
  <c r="S105" i="4"/>
  <c r="Q105" i="4"/>
  <c r="O105" i="4"/>
  <c r="U104" i="4"/>
  <c r="S104" i="4"/>
  <c r="Q104" i="4"/>
  <c r="O104" i="4"/>
  <c r="U103" i="4"/>
  <c r="S103" i="4"/>
  <c r="Q103" i="4"/>
  <c r="O103" i="4"/>
  <c r="U102" i="4"/>
  <c r="S102" i="4"/>
  <c r="Q102" i="4"/>
  <c r="O102" i="4"/>
  <c r="U101" i="4"/>
  <c r="S101" i="4"/>
  <c r="Q101" i="4"/>
  <c r="O101" i="4"/>
  <c r="U100" i="4"/>
  <c r="S100" i="4"/>
  <c r="Q100" i="4"/>
  <c r="O100" i="4"/>
  <c r="U99" i="4"/>
  <c r="S99" i="4"/>
  <c r="Q99" i="4"/>
  <c r="O99" i="4"/>
  <c r="U98" i="4"/>
  <c r="S98" i="4"/>
  <c r="Q98" i="4"/>
  <c r="O98" i="4"/>
  <c r="U97" i="4"/>
  <c r="S97" i="4"/>
  <c r="Q97" i="4"/>
  <c r="O97" i="4"/>
  <c r="U96" i="4"/>
  <c r="S96" i="4"/>
  <c r="Q96" i="4"/>
  <c r="O96" i="4"/>
  <c r="U95" i="4"/>
  <c r="S95" i="4"/>
  <c r="Q95" i="4"/>
  <c r="O95" i="4"/>
  <c r="U94" i="4"/>
  <c r="S94" i="4"/>
  <c r="Q94" i="4"/>
  <c r="O94" i="4"/>
  <c r="U93" i="4"/>
  <c r="S93" i="4"/>
  <c r="Q93" i="4"/>
  <c r="O93" i="4"/>
  <c r="U92" i="4"/>
  <c r="S92" i="4"/>
  <c r="Q92" i="4"/>
  <c r="O92" i="4"/>
  <c r="U91" i="4"/>
  <c r="S91" i="4"/>
  <c r="Q91" i="4"/>
  <c r="O91" i="4"/>
  <c r="U90" i="4"/>
  <c r="S90" i="4"/>
  <c r="Q90" i="4"/>
  <c r="O90" i="4"/>
  <c r="U89" i="4"/>
  <c r="S89" i="4"/>
  <c r="Q89" i="4"/>
  <c r="O89" i="4"/>
  <c r="U88" i="4"/>
  <c r="S88" i="4"/>
  <c r="Q88" i="4"/>
  <c r="O88" i="4"/>
  <c r="U87" i="4"/>
  <c r="S87" i="4"/>
  <c r="Q87" i="4"/>
  <c r="O87" i="4"/>
  <c r="U86" i="4"/>
  <c r="S86" i="4"/>
  <c r="Q86" i="4"/>
  <c r="O86" i="4"/>
  <c r="U85" i="4"/>
  <c r="S85" i="4"/>
  <c r="Q85" i="4"/>
  <c r="O85" i="4"/>
  <c r="U84" i="4"/>
  <c r="S84" i="4"/>
  <c r="Q84" i="4"/>
  <c r="O84" i="4"/>
  <c r="U83" i="4"/>
  <c r="S83" i="4"/>
  <c r="Q83" i="4"/>
  <c r="O83" i="4"/>
  <c r="U82" i="4"/>
  <c r="S82" i="4"/>
  <c r="Q82" i="4"/>
  <c r="O82" i="4"/>
  <c r="U81" i="4"/>
  <c r="S81" i="4"/>
  <c r="Q81" i="4"/>
  <c r="O81" i="4"/>
  <c r="U80" i="4"/>
  <c r="S80" i="4"/>
  <c r="Q80" i="4"/>
  <c r="O80" i="4"/>
  <c r="U79" i="4"/>
  <c r="S79" i="4"/>
  <c r="Q79" i="4"/>
  <c r="O79" i="4"/>
  <c r="U78" i="4"/>
  <c r="S78" i="4"/>
  <c r="Q78" i="4"/>
  <c r="O78" i="4"/>
  <c r="U77" i="4"/>
  <c r="S77" i="4"/>
  <c r="Q77" i="4"/>
  <c r="O77" i="4"/>
  <c r="U76" i="4"/>
  <c r="S76" i="4"/>
  <c r="Q76" i="4"/>
  <c r="O76" i="4"/>
  <c r="U75" i="4"/>
  <c r="S75" i="4"/>
  <c r="Q75" i="4"/>
  <c r="O75" i="4"/>
  <c r="U74" i="4"/>
  <c r="S74" i="4"/>
  <c r="Q74" i="4"/>
  <c r="O74" i="4"/>
  <c r="U73" i="4"/>
  <c r="S73" i="4"/>
  <c r="Q73" i="4"/>
  <c r="O73" i="4"/>
  <c r="U72" i="4"/>
  <c r="S72" i="4"/>
  <c r="Q72" i="4"/>
  <c r="O72" i="4"/>
  <c r="U71" i="4"/>
  <c r="S71" i="4"/>
  <c r="Q71" i="4"/>
  <c r="O71" i="4"/>
  <c r="U70" i="4"/>
  <c r="S70" i="4"/>
  <c r="Q70" i="4"/>
  <c r="O70" i="4"/>
  <c r="U69" i="4"/>
  <c r="S69" i="4"/>
  <c r="Q69" i="4"/>
  <c r="O69" i="4"/>
  <c r="U68" i="4"/>
  <c r="S68" i="4"/>
  <c r="Q68" i="4"/>
  <c r="O68" i="4"/>
  <c r="U67" i="4"/>
  <c r="S67" i="4"/>
  <c r="Q67" i="4"/>
  <c r="O67" i="4"/>
  <c r="U66" i="4"/>
  <c r="S66" i="4"/>
  <c r="Q66" i="4"/>
  <c r="O66" i="4"/>
  <c r="U65" i="4"/>
  <c r="S65" i="4"/>
  <c r="Q65" i="4"/>
  <c r="O65" i="4"/>
  <c r="U64" i="4"/>
  <c r="S64" i="4"/>
  <c r="Q64" i="4"/>
  <c r="O64" i="4"/>
  <c r="U63" i="4"/>
  <c r="S63" i="4"/>
  <c r="Q63" i="4"/>
  <c r="O63" i="4"/>
  <c r="U62" i="4"/>
  <c r="S62" i="4"/>
  <c r="Q62" i="4"/>
  <c r="O62" i="4"/>
  <c r="U61" i="4"/>
  <c r="S61" i="4"/>
  <c r="Q61" i="4"/>
  <c r="O61" i="4"/>
  <c r="U60" i="4"/>
  <c r="S60" i="4"/>
  <c r="Q60" i="4"/>
  <c r="O60" i="4"/>
  <c r="U59" i="4"/>
  <c r="S59" i="4"/>
  <c r="Q59" i="4"/>
  <c r="O59" i="4"/>
  <c r="U58" i="4"/>
  <c r="S58" i="4"/>
  <c r="Q58" i="4"/>
  <c r="O58" i="4"/>
  <c r="U57" i="4"/>
  <c r="S57" i="4"/>
  <c r="Q57" i="4"/>
  <c r="O57" i="4"/>
  <c r="U56" i="4"/>
  <c r="S56" i="4"/>
  <c r="Q56" i="4"/>
  <c r="O56" i="4"/>
  <c r="U55" i="4"/>
  <c r="S55" i="4"/>
  <c r="Q55" i="4"/>
  <c r="O55" i="4"/>
  <c r="U54" i="4"/>
  <c r="S54" i="4"/>
  <c r="Q54" i="4"/>
  <c r="O54" i="4"/>
  <c r="U53" i="4"/>
  <c r="S53" i="4"/>
  <c r="Q53" i="4"/>
  <c r="O53" i="4"/>
  <c r="U52" i="4"/>
  <c r="S52" i="4"/>
  <c r="Q52" i="4"/>
  <c r="O52" i="4"/>
  <c r="U51" i="4"/>
  <c r="S51" i="4"/>
  <c r="Q51" i="4"/>
  <c r="O51" i="4"/>
  <c r="U50" i="4"/>
  <c r="S50" i="4"/>
  <c r="Q50" i="4"/>
  <c r="O50" i="4"/>
  <c r="U49" i="4"/>
  <c r="S49" i="4"/>
  <c r="Q49" i="4"/>
  <c r="O49" i="4"/>
  <c r="U48" i="4"/>
  <c r="S48" i="4"/>
  <c r="Q48" i="4"/>
  <c r="O48" i="4"/>
  <c r="U47" i="4"/>
  <c r="S47" i="4"/>
  <c r="Q47" i="4"/>
  <c r="O47" i="4"/>
  <c r="U46" i="4"/>
  <c r="S46" i="4"/>
  <c r="Q46" i="4"/>
  <c r="O46" i="4"/>
  <c r="U45" i="4"/>
  <c r="S45" i="4"/>
  <c r="Q45" i="4"/>
  <c r="O45" i="4"/>
  <c r="U44" i="4"/>
  <c r="S44" i="4"/>
  <c r="Q44" i="4"/>
  <c r="O44" i="4"/>
  <c r="U43" i="4"/>
  <c r="S43" i="4"/>
  <c r="Q43" i="4"/>
  <c r="O43" i="4"/>
  <c r="U42" i="4"/>
  <c r="S42" i="4"/>
  <c r="Q42" i="4"/>
  <c r="O42" i="4"/>
  <c r="U41" i="4"/>
  <c r="S41" i="4"/>
  <c r="Q41" i="4"/>
  <c r="O41" i="4"/>
  <c r="U40" i="4"/>
  <c r="S40" i="4"/>
  <c r="Q40" i="4"/>
  <c r="O40" i="4"/>
  <c r="U39" i="4"/>
  <c r="S39" i="4"/>
  <c r="Q39" i="4"/>
  <c r="O39" i="4"/>
  <c r="U38" i="4"/>
  <c r="S38" i="4"/>
  <c r="Q38" i="4"/>
  <c r="O38" i="4"/>
  <c r="U37" i="4"/>
  <c r="S37" i="4"/>
  <c r="Q37" i="4"/>
  <c r="O37" i="4"/>
  <c r="U36" i="4"/>
  <c r="S36" i="4"/>
  <c r="Q36" i="4"/>
  <c r="O36" i="4"/>
  <c r="U35" i="4"/>
  <c r="S35" i="4"/>
  <c r="Q35" i="4"/>
  <c r="O35" i="4"/>
  <c r="U34" i="4"/>
  <c r="S34" i="4"/>
  <c r="Q34" i="4"/>
  <c r="O34" i="4"/>
  <c r="U33" i="4"/>
  <c r="S33" i="4"/>
  <c r="Q33" i="4"/>
  <c r="O33" i="4"/>
  <c r="U32" i="4"/>
  <c r="S32" i="4"/>
  <c r="Q32" i="4"/>
  <c r="O32" i="4"/>
  <c r="U31" i="4"/>
  <c r="S31" i="4"/>
  <c r="Q31" i="4"/>
  <c r="O31" i="4"/>
  <c r="U30" i="4"/>
  <c r="S30" i="4"/>
  <c r="Q30" i="4"/>
  <c r="O30" i="4"/>
  <c r="U29" i="4"/>
  <c r="S29" i="4"/>
  <c r="Q29" i="4"/>
  <c r="O29" i="4"/>
  <c r="U28" i="4"/>
  <c r="S28" i="4"/>
  <c r="Q28" i="4"/>
  <c r="O28" i="4"/>
  <c r="U27" i="4"/>
  <c r="S27" i="4"/>
  <c r="Q27" i="4"/>
  <c r="O27" i="4"/>
  <c r="U26" i="4"/>
  <c r="S26" i="4"/>
  <c r="Q26" i="4"/>
  <c r="O26" i="4"/>
  <c r="U25" i="4"/>
  <c r="S25" i="4"/>
  <c r="Q25" i="4"/>
  <c r="O25" i="4"/>
  <c r="U24" i="4"/>
  <c r="S24" i="4"/>
  <c r="Q24" i="4"/>
  <c r="O24" i="4"/>
  <c r="U23" i="4"/>
  <c r="S23" i="4"/>
  <c r="Q23" i="4"/>
  <c r="O23" i="4"/>
  <c r="U22" i="4"/>
  <c r="S22" i="4"/>
  <c r="Q22" i="4"/>
  <c r="O22" i="4"/>
  <c r="U21" i="4"/>
  <c r="S21" i="4"/>
  <c r="Q21" i="4"/>
  <c r="O21" i="4"/>
  <c r="U20" i="4"/>
  <c r="S20" i="4"/>
  <c r="Q20" i="4"/>
  <c r="O20" i="4"/>
  <c r="U19" i="4"/>
  <c r="S19" i="4"/>
  <c r="Q19" i="4"/>
  <c r="O19" i="4"/>
  <c r="U18" i="4"/>
  <c r="S18" i="4"/>
  <c r="Q18" i="4"/>
  <c r="O18" i="4"/>
  <c r="U17" i="4"/>
  <c r="S17" i="4"/>
  <c r="Q17" i="4"/>
  <c r="O17" i="4"/>
  <c r="U16" i="4"/>
  <c r="S16" i="4"/>
  <c r="Q16" i="4"/>
  <c r="O16" i="4"/>
  <c r="U15" i="4"/>
  <c r="S15" i="4"/>
  <c r="Q15" i="4"/>
  <c r="O15" i="4"/>
  <c r="U14" i="4"/>
  <c r="S14" i="4"/>
  <c r="Q14" i="4"/>
  <c r="O14" i="4"/>
  <c r="U13" i="4"/>
  <c r="S13" i="4"/>
  <c r="Q13" i="4"/>
  <c r="O13" i="4"/>
  <c r="U12" i="4"/>
  <c r="S12" i="4"/>
  <c r="Q12" i="4"/>
  <c r="O12" i="4"/>
  <c r="U11" i="4"/>
  <c r="S11" i="4"/>
  <c r="Q11" i="4"/>
  <c r="O11" i="4"/>
  <c r="U10" i="4"/>
  <c r="S10" i="4"/>
  <c r="Q10" i="4"/>
  <c r="O10" i="4"/>
</calcChain>
</file>

<file path=xl/sharedStrings.xml><?xml version="1.0" encoding="utf-8"?>
<sst xmlns="http://schemas.openxmlformats.org/spreadsheetml/2006/main" count="339" uniqueCount="163">
  <si>
    <t>SEVERIDAD</t>
  </si>
  <si>
    <t>INCIDENCIA</t>
  </si>
  <si>
    <t>DETECTABILIDAD</t>
  </si>
  <si>
    <t>PENSIONADOS</t>
  </si>
  <si>
    <t>Unauthorized procedure</t>
  </si>
  <si>
    <t>Inactive membership patient</t>
  </si>
  <si>
    <t>Uninsured patient</t>
  </si>
  <si>
    <t>Lack of inpatient bed</t>
  </si>
  <si>
    <t>Lack of opportunity for intra-hospital transfers</t>
  </si>
  <si>
    <t>Lack of pre-anesthetic evaluation</t>
  </si>
  <si>
    <t>Absence of medical specialist</t>
  </si>
  <si>
    <t>NURSING STAFF ABSENCES</t>
  </si>
  <si>
    <t>SURGICAL INSTRUMENT TECHNICIAN ABSENCES</t>
  </si>
  <si>
    <t>PRE-SURGICAL FINDING (PREPARATION ROOM)</t>
  </si>
  <si>
    <t>INTRAOPERATIVE FINDING</t>
  </si>
  <si>
    <t>Fever</t>
  </si>
  <si>
    <t>CARDIOVASCULAR DISEASES</t>
  </si>
  <si>
    <t>RESPIRATORY SYMPTOMS</t>
  </si>
  <si>
    <t>PATIENT WITH UNPLANNED ISOLATION FOR SURGERY</t>
  </si>
  <si>
    <t>LACK OF FASTING</t>
  </si>
  <si>
    <t>LACK OF DIAGNOSTIC AIDS</t>
  </si>
  <si>
    <t>LACK OF BIOMEDICAL MATERIAL</t>
  </si>
  <si>
    <t>LACK OF MEDICATIONS OR BLOOD PRODUCTS</t>
  </si>
  <si>
    <t>LACK OF SURGICAL SUPPLIES</t>
  </si>
  <si>
    <t>CANCELLATION OF SCHEDULED PROCEDURE</t>
  </si>
  <si>
    <t>RESCHEDULING OF SURGICAL PROCEDURE</t>
  </si>
  <si>
    <t>COSTS INCURRED BY THE PATIENT INDIVIDUALLY</t>
  </si>
  <si>
    <t>NON-PERFORMANCE OF THE PROCEDURE</t>
  </si>
  <si>
    <t>CANCELLATION OF SUBSEQUENT SURGICAL PROCEDURES DUE TO FAILURE TO TIMELY TRANSFER PATIENT REQUIRING ICU OR CCU</t>
  </si>
  <si>
    <t>RECOVERY ROOM FULLY OCCUPIED</t>
  </si>
  <si>
    <t>PROLONGED OPERATING ROOM OCCUPATION BEYOND SCHEDULED TIME</t>
  </si>
  <si>
    <t>DELAY IN START OF SURGICAL PROCEDURE</t>
  </si>
  <si>
    <t>SURGERY CANCELLATIONS</t>
  </si>
  <si>
    <t>PROLONGED SURGICAL TIMES DUE TO EXTENDED ANESTHESIA TIMES</t>
  </si>
  <si>
    <t>PROLONGED ANESTHESIA TIMES</t>
  </si>
  <si>
    <t>UNEXPECTED THERAPEUTIC AND ANESTHETIC REQUIREMENTS DURING SURGERY</t>
  </si>
  <si>
    <t>CANCELLATION OF PROCEDURE</t>
  </si>
  <si>
    <t>CHANGE IN THERAPEUTIC PLAN BY MEDICAL CRITERIA</t>
  </si>
  <si>
    <t>SURGICAL DELAYS</t>
  </si>
  <si>
    <t>CANCELLATION OF SURGICAL PROCEDURE</t>
  </si>
  <si>
    <t>PROLONGED SURGICAL TIMES DUE TO CHANGES IN SURGICAL PLAN</t>
  </si>
  <si>
    <t>PROLONGED SURGICAL TIME</t>
  </si>
  <si>
    <t>CANCELLATION OF SUBSEQUENT SURGICAL PROCEDURES</t>
  </si>
  <si>
    <t>RESCHEDULING OF SURGICAL TIMES</t>
  </si>
  <si>
    <t>REQUIREMENT OR PROLONGATION OF HOSPITALIZATION</t>
  </si>
  <si>
    <t>RESCHEDULING OF SURGICAL PROCEDURES</t>
  </si>
  <si>
    <t>PROLONGATION OF HOSPITALIZATION</t>
  </si>
  <si>
    <t>DANGEROUS</t>
  </si>
  <si>
    <t>SERIOUS</t>
  </si>
  <si>
    <t>MAJOR</t>
  </si>
  <si>
    <t>MODERATE</t>
  </si>
  <si>
    <t>MINIMAL</t>
  </si>
  <si>
    <t>MILD</t>
  </si>
  <si>
    <t>NOT SEVERE</t>
  </si>
  <si>
    <t>ALMOST CERTAIN</t>
  </si>
  <si>
    <t>VERY HIGH</t>
  </si>
  <si>
    <t>MODERATELY HIGH</t>
  </si>
  <si>
    <t>MEDIUM</t>
  </si>
  <si>
    <t>LOW</t>
  </si>
  <si>
    <t>VERY SLIGHT</t>
  </si>
  <si>
    <t>ALMOST NEVER</t>
  </si>
  <si>
    <t>ALMOST IMPOSSIBLE</t>
  </si>
  <si>
    <t>REMOTE</t>
  </si>
  <si>
    <t>SLIGHT</t>
  </si>
  <si>
    <t>HIGH</t>
  </si>
  <si>
    <t>INCREASE THE STOCK OF SUPPLIES AND SURGICAL MATERIALS FOR THE PERFORMANCE OF PROCEDURES BY CONDUCTING PRIOR ANALYSES OF THE QUANTITY AND AVAILABILITY OF WHAT IS USED IN EACH PROCEDURE</t>
  </si>
  <si>
    <t>INCREASE THE STOCK OF MEDICATIONS AND EVALUATE, IN CONJUNCTION WITH THE BLOOD BANK, THE QUANTITY OF BLOOD PRODUCTS PRIOR TO THE PERFORMANCE OF SURGICAL PROCEDURES</t>
  </si>
  <si>
    <t>PRE-SURGICAL EVALUATION, ESPECIALLY IN OUTPATIENTS, BY THE TREATING SPECIALTY</t>
  </si>
  <si>
    <t>VERIFY DIETS BY NURSING PROFESSIONALS AFTER CONFIRMATION OF SURGICAL SCHEDULES IN EACH HOSPITALIZATION WARD.</t>
  </si>
  <si>
    <t>VERIFY ISOLATION CONDITIONS BY NURSING PROFESSIONALS AND SCHEDULING STAFF PRIOR TO CONFIRMATION OF SURGICAL SCHEDULES IN EACH HOSPITALIZATION WARD.</t>
  </si>
  <si>
    <t>MEDICAL RECORD OF ISOLATION CONDITIONS EXPECTED FOR THE PATIENT AFTER THE SURGICAL PROCEDURE</t>
  </si>
  <si>
    <t>STRICT CONTROL OF VITAL SIGNS BY NURSING STAFF</t>
  </si>
  <si>
    <t>STRICT MONITORING OF VITAL SIGNS AND ADMINISTRATION OF TREATMENT BY NURSING STAFF.</t>
  </si>
  <si>
    <t>STRICT MONITORING OF VITAL SIGNS BY NURSING STAFF</t>
  </si>
  <si>
    <t>CONSIDER AVAILABILITY OF AUXILIARY ROOMS FOR PERFORMING SURGICAL PROCEDURES, PREVIOUSLY ANALYZING RISK AND BENEFIT.</t>
  </si>
  <si>
    <t>STANDARDIZATION OF INSTITUTIONAL PROCESSES AND PROTOCOLS SHARED WITH SPECIALIST ANESTHESIOLOGY MEDICAL PERSONNEL THAT CAN BE EVALUATED THROUGH THE APPLICATION OF A CHECKLIST, SIGNING OF INFORMED CONSENT AND CLARIFICATION OF DOUBTS IN INPATIENT AND AMBULATORY PATIENTS, WIDELY REGISTERED IN MEDICAL RECORDS.</t>
  </si>
  <si>
    <t>STAFFING SUFFICIENCY IN HEALTHCARE.</t>
  </si>
  <si>
    <t>ADEQUACY OF CAREGIVER STAFFING</t>
  </si>
  <si>
    <t>STANDARDIZATION OF SURGICAL TIMES, CONDUCTING ANALYSIS OF PREVIOUS SURGICAL TIMES, REASONS FOR DELAYS, CANCELLATION REASONS, AMONG OTHER FACTORS THAT MAY CAUSE DELAYS IN MEETING SURGICAL SCHEDULES.</t>
  </si>
  <si>
    <t>INCREASING RESPONSIVENESS CAPACITY BY ENSURING AVAILABILITY OF SPECIALISTS UPON REQUEST FOR PROCEDURE, PREVIOUSLY ANALYZING SUFFICIENCY, AVAILABILITY, AND FEASIBILITY TO ENSURE AVAILABILITY OF SPECIALIST PHYSICIANS.</t>
  </si>
  <si>
    <t>STANDARDIZATION OF INSTITUTIONAL PROCESSES AND PROTOCOLS SHARED WITH SPECIALIST ANESTHESIOLOGY MEDICAL PERSONNEL THAT CAN BE EVALUATED THROUGH THE APPLICATION OF A CHECKLIST, SIGNING OF INFORMED CONSENT, INFORMATION, AND CLARIFICATION OF DOUBTS IN INPATIENT AND AMBULATORY PATIENTS, WIDELY RECORDED IN MEDICAL RECORDS.</t>
  </si>
  <si>
    <t>ASSIGNMENT OF SPECIFIC PORTERS FOR THE OPERATING ROOM AREA, PREVIOUSLY ANALYZING INPATIENTS, OUTPATIENTS, EXPECTED AND UNEXPECTED EVENTS IN SURGERY, AMONG OTHER FACTORS.</t>
  </si>
  <si>
    <t>TO ASSESS WITH THE CENTRAL UNIT RESPONSIBLE FOR THE ASSIGNMENT OF HOSPITAL BEDS THE POSSIBILITY OF STANDARDIZED BED ASSIGNMENT FOR THE SURGICAL AREA, WITHOUT AFFECTING THE INSTITUTION'S BED TURNOVER.</t>
  </si>
  <si>
    <t>VERIFICATION OF AUTHORIZATION THROUGH THE WEBSITES OF EACH HEALTHCARE PROVIDER ENTITY, WHERE THE PATIENT'S MEMBERSHIP STATUS AND MEDICAL ORDER AUTHORIZATION STATUS CAN BE CONFIRMED</t>
  </si>
  <si>
    <t>VERIFICATION OF AUTHORIZATION THROUGH THE WEBSITES OF EACH HEALTH INSURANCE PROVIDER, WHERE THE PATIENT'S MEMBERSHIP STATUS AND THE STATUS OF MEDICAL ORDER AUTHORIZATION CAN BE CONFIRMED.</t>
  </si>
  <si>
    <t>AUTHORIZATION VERIFICATION THROUGH THE WEBSITES OF EACH HEALTH INSURANCE COMPANY, WHERE THE PATIENT'S MEMBERSHIP STATUS AND MEDICAL ORDER AUTHORIZATION STATUS CAN BE CONFIRMED.</t>
  </si>
  <si>
    <t>FMEA (FAILURE MODE AND EFFECTS ANALYSIS) FOR PROLONGED CHANGE TIMES DUE TO CLINICAL AND PATIENT FAILURE.</t>
  </si>
  <si>
    <t>FAILURE MODE AND EFFECTS ANALYSIS (FMEA)</t>
  </si>
  <si>
    <t>PROCESS NAME:</t>
  </si>
  <si>
    <r>
      <rPr>
        <b/>
        <sz val="11"/>
        <color theme="1"/>
        <rFont val="Arial"/>
        <family val="2"/>
      </rPr>
      <t>PERFORMER</t>
    </r>
    <r>
      <rPr>
        <sz val="11"/>
        <color theme="1"/>
        <rFont val="Arial"/>
        <family val="2"/>
      </rPr>
      <t>:</t>
    </r>
  </si>
  <si>
    <t>CLINICAL AND PATIENT FAILURE</t>
  </si>
  <si>
    <t>DATE OF EXECUTION:</t>
  </si>
  <si>
    <r>
      <rPr>
        <b/>
        <sz val="11"/>
        <color theme="1"/>
        <rFont val="Arial"/>
        <family val="2"/>
      </rPr>
      <t>OPERATING ROOM</t>
    </r>
    <r>
      <rPr>
        <sz val="11"/>
        <color theme="1"/>
        <rFont val="Arial"/>
        <family val="2"/>
      </rPr>
      <t>:</t>
    </r>
  </si>
  <si>
    <t>SURGERY COORDINATOR</t>
  </si>
  <si>
    <t>INSTITUTION:</t>
  </si>
  <si>
    <t>OPERATING ROOM</t>
  </si>
  <si>
    <t>A HOSPITAL INSTITUTION IN THE CITY OF MEDELLÍN"</t>
  </si>
  <si>
    <t>FAILURE MODE</t>
  </si>
  <si>
    <t>POTENTIAL FAILURE EFFECT</t>
  </si>
  <si>
    <t>POTENTIAL FAILURE CAUSE</t>
  </si>
  <si>
    <t>EXISTING CONDITIONS</t>
  </si>
  <si>
    <t>CURRENT CONTROLS</t>
  </si>
  <si>
    <t>SEVERITY</t>
  </si>
  <si>
    <t>OCCURRENCE</t>
  </si>
  <si>
    <t>DETECTION</t>
  </si>
  <si>
    <t>PRIORITY RISK INDEX (PRI)</t>
  </si>
  <si>
    <t>RESULTS</t>
  </si>
  <si>
    <t>RECOMMENDED ACTION</t>
  </si>
  <si>
    <t>RESPONSIBLE AREA FOR CORRECTIVE ACTION</t>
  </si>
  <si>
    <t>CORRECTIVE ACTION</t>
  </si>
  <si>
    <t xml:space="preserve">NO SCHEDULING OF PROCEDURES
</t>
  </si>
  <si>
    <t xml:space="preserve">PROLONGATION OF THE PROCEDURE DUE TO LACK OF AVAILABILITY OF BEDS IN UCE, ICU
</t>
  </si>
  <si>
    <t xml:space="preserve">INAPPROPRIATE PRE-SURGICAL AND POST-SURGICAL TRANSFERS
</t>
  </si>
  <si>
    <t>NO IDENTIFICATION OF THE PATIENT'S PERSONAL AND FAMILY HISTORY</t>
  </si>
  <si>
    <t>LACK OF PRIOR THERAPEUTIC PLAN BEFORE SURGICAL PROCEDURE</t>
  </si>
  <si>
    <t>CHANGE OF ATTENDING SPECIALIST</t>
  </si>
  <si>
    <t>DELAYS IN THE EXECUTION OF THE SURGICAL SCHEDULE</t>
  </si>
  <si>
    <t>CHANGE OF SURGICAL PLAN BY THE SPECIALIST</t>
  </si>
  <si>
    <t>PROCEDURE EXTENSION</t>
  </si>
  <si>
    <t>DÉLAY IN THE EXECUTION OF THE SURGICAL AGENDA</t>
  </si>
  <si>
    <t>AUTHORIZATION VERIFICATION THROUGH THE HEALTH INSURANCE PROVIDERS' WEBSITES</t>
  </si>
  <si>
    <t>PATIENT RIGHTS VERIFICATION PRIOR TO SCHEDULING</t>
  </si>
  <si>
    <t>VERIFICATION OF STAYS AND BED AVAILABILITY IN ANY HOSPITAL SERVICE</t>
  </si>
  <si>
    <t>DESIGNATED ORDERLY FOR THE SURGERY SERVICE, FOR PROCEDURE ATTENTION AND TIMELINESS, AS WELL AS OTHER ACTIVITIES</t>
  </si>
  <si>
    <t>PRE-ANESTHETIC EVALUATIONS</t>
  </si>
  <si>
    <t>MEDICAL SHIFT SCHEDULE, AVAILABILITY OF TREATING SPECIALTY AND SUBSPECIALTY</t>
  </si>
  <si>
    <t>SWAPPING OF SURGICAL SCHEDULES TO AVOID CANCELLATIONS</t>
  </si>
  <si>
    <t>GUIDELINES AND ATTENTION PROTOCOLS</t>
  </si>
  <si>
    <t>SUFFICIENCY OF NURSING STAFF</t>
  </si>
  <si>
    <t>SUFFICIENCY OF SURGICAL INSTRUMENTATION STAFF</t>
  </si>
  <si>
    <t>PRE-SURGICAL ASSESSMENTS PRIOR TO AGENDA SCHEDULING</t>
  </si>
  <si>
    <t>SURGICAL CARE THROUGH CLINICAL PRACTICE GUIDELINES</t>
  </si>
  <si>
    <t>PRE-PROCEDURE COMPLEMENTARY CLINICAL STUDIES</t>
  </si>
  <si>
    <t>PRE-PROCEDURE ASSESSMENTS BEFORE SURGICAL PROCEDURES</t>
  </si>
  <si>
    <t>PRE-SURGICAL EVALUATIONS</t>
  </si>
  <si>
    <t>ROOM AVAILABILITY</t>
  </si>
  <si>
    <t>VITAL SIGNS TO THE PATIENT</t>
  </si>
  <si>
    <t>RESPIRATORY SIGNS AND SYMPTOMS</t>
  </si>
  <si>
    <t>PRE-SURGICAL AND PRE-ANESTHETIC MEDICAL CONSULTATION FOR AMBULATORY PATIENTS</t>
  </si>
  <si>
    <t>HISTORY CHECK</t>
  </si>
  <si>
    <t>CANCELLATION OF DIETS</t>
  </si>
  <si>
    <t>PRE-SURGICAL EVALUATION</t>
  </si>
  <si>
    <t>SURGICAL PROCEDURE SCHEDULING WITH INCLUDED WAREHOUSE APPROVAL</t>
  </si>
  <si>
    <t>SURGICAL PROCEDURE SCHEDULING WITH INCLUDED LABORATORY AND PHARMACY APPROVAL</t>
  </si>
  <si>
    <t>SURGICAL PROCEDURE SCHEDULING WITH WAREHOUSE APPROVAL INCLUDED</t>
  </si>
  <si>
    <t>SURGICAL SCHEDULING AND AGENDA MANAGEMENT AREA, ADMINISTRATIVE SECRETARIES OF EACH OPERATING ROOM</t>
  </si>
  <si>
    <t>SURGICAL SCHEDULING AND AGENDA MANAGEMENT AREA, ADMINISTRATIVE SECRETARIES OF EACH ROOM</t>
  </si>
  <si>
    <t>SURGICAL SCHEDULING, ADMINISTRATIVE COORDINATION, AND BED MANAGEMENT AREA</t>
  </si>
  <si>
    <t>ORDERLY DISPATCH CENTER</t>
  </si>
  <si>
    <t>ASSISTANCE COORDINATOR OF THE SURGICAL AREA, LEAD ANESTHESIOLOGIST</t>
  </si>
  <si>
    <t>ADMINISTRATIVE AND ASSISTANCE COORDINATION OF THE SURGICAL AREA, SPECIALTY LEADERS, AND CONTRACTING OR HUMAN RESOURCES OFFICE</t>
  </si>
  <si>
    <t>SURGICAL SCHEDULING AND ADMINISTRATIVE COORDINATION, TOGETHER WITH LEADERS OF EACH SPECIALTY</t>
  </si>
  <si>
    <t>NURSING AND HUMAN RESOURCES COORDINATION</t>
  </si>
  <si>
    <t>ASSISTANCE COORDINATOR OF THE SURGICAL AREA, SURGICAL LEADER</t>
  </si>
  <si>
    <t>SURGICAL SCHEDULING AND ADMINISTRATIVE COORDINATION, IN CONJUNCTION WITH LEADERS OF EACH SPECIALTY</t>
  </si>
  <si>
    <t>HOSPITALIZATION AREA</t>
  </si>
  <si>
    <t>LEADER OF EACH SPECIALTY AND TREATING SPECIALIST</t>
  </si>
  <si>
    <t>SCHEDULING, HOSPITALIZATION NURSES, AND NURSING COORDINATION</t>
  </si>
  <si>
    <t>NURSING COORDINATION AND HOSPITALIZATION NURSES</t>
  </si>
  <si>
    <t>ADMINISTRATIVE COORDINATION AND APPOINTMENT SCHEDULING AREA</t>
  </si>
  <si>
    <t>SURGICAL SCHEDULING AND AGENDA MANAGEMENT AREA, PROCUREMENT AREA, BIOMEDICAL AREA</t>
  </si>
  <si>
    <t>SURGICAL SCHEDULING AND AGENDA MANAGEMENT AREA, PROCUREMENT AREA, BLOOD BANK</t>
  </si>
  <si>
    <t>PENSIONED OPERATING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</si>
</sst>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6" xfId="0" applyFont="1" applyFill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 applyProtection="1">
      <alignment horizontal="center" vertical="center"/>
      <protection locked="0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 applyProtection="1">
      <alignment horizontal="center" vertical="center" wrapText="1"/>
      <protection locked="0"/>
    </xf>
    <xf numFmtId="0" fontId="2" fillId="5" borderId="12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0</xdr:row>
          <xdr:rowOff>104775</xdr:rowOff>
        </xdr:from>
        <xdr:to>
          <xdr:col>1</xdr:col>
          <xdr:colOff>457200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and center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95250</xdr:rowOff>
        </xdr:from>
        <xdr:to>
          <xdr:col>2</xdr:col>
          <xdr:colOff>457200</xdr:colOff>
          <xdr:row>1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Unmerge 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05E3D-EFA1-4A29-95B2-05780091EBEE}">
  <sheetPr codeName="Hoja5"/>
  <dimension ref="A1:F8"/>
  <sheetViews>
    <sheetView tabSelected="1" workbookViewId="0">
      <selection activeCell="C5" sqref="C5"/>
    </sheetView>
  </sheetViews>
  <sheetFormatPr baseColWidth="10" defaultRowHeight="15" x14ac:dyDescent="0.25"/>
  <cols>
    <col min="1" max="1" width="12.7109375" bestFit="1" customWidth="1"/>
    <col min="2" max="2" width="2" bestFit="1" customWidth="1"/>
    <col min="3" max="3" width="22.7109375" bestFit="1" customWidth="1"/>
    <col min="4" max="4" width="2" bestFit="1" customWidth="1"/>
    <col min="5" max="5" width="18.28515625" bestFit="1" customWidth="1"/>
    <col min="6" max="6" width="2" bestFit="1" customWidth="1"/>
  </cols>
  <sheetData>
    <row r="1" spans="1:6" x14ac:dyDescent="0.25">
      <c r="A1" s="12" t="s">
        <v>0</v>
      </c>
      <c r="B1" s="12"/>
      <c r="C1" s="12" t="s">
        <v>1</v>
      </c>
      <c r="D1" s="12"/>
      <c r="E1" s="12" t="s">
        <v>2</v>
      </c>
      <c r="F1" s="12"/>
    </row>
    <row r="2" spans="1:6" x14ac:dyDescent="0.25">
      <c r="A2" t="s">
        <v>47</v>
      </c>
      <c r="B2">
        <v>7</v>
      </c>
      <c r="C2" t="s">
        <v>54</v>
      </c>
      <c r="D2">
        <v>7</v>
      </c>
      <c r="E2" t="s">
        <v>61</v>
      </c>
      <c r="F2">
        <v>7</v>
      </c>
    </row>
    <row r="3" spans="1:6" x14ac:dyDescent="0.25">
      <c r="A3" t="s">
        <v>48</v>
      </c>
      <c r="B3">
        <v>6</v>
      </c>
      <c r="C3" t="s">
        <v>55</v>
      </c>
      <c r="D3">
        <v>6</v>
      </c>
      <c r="E3" t="s">
        <v>62</v>
      </c>
      <c r="F3">
        <v>6</v>
      </c>
    </row>
    <row r="4" spans="1:6" x14ac:dyDescent="0.25">
      <c r="A4" t="s">
        <v>49</v>
      </c>
      <c r="B4">
        <v>5</v>
      </c>
      <c r="C4" t="s">
        <v>56</v>
      </c>
      <c r="D4">
        <v>5</v>
      </c>
      <c r="E4" t="s">
        <v>63</v>
      </c>
      <c r="F4">
        <v>5</v>
      </c>
    </row>
    <row r="5" spans="1:6" x14ac:dyDescent="0.25">
      <c r="A5" t="s">
        <v>50</v>
      </c>
      <c r="B5">
        <v>4</v>
      </c>
      <c r="C5" t="s">
        <v>57</v>
      </c>
      <c r="D5">
        <v>4</v>
      </c>
      <c r="E5" t="s">
        <v>57</v>
      </c>
      <c r="F5">
        <v>4</v>
      </c>
    </row>
    <row r="6" spans="1:6" x14ac:dyDescent="0.25">
      <c r="A6" t="s">
        <v>51</v>
      </c>
      <c r="B6">
        <v>3</v>
      </c>
      <c r="C6" t="s">
        <v>58</v>
      </c>
      <c r="D6">
        <v>3</v>
      </c>
      <c r="E6" t="s">
        <v>64</v>
      </c>
      <c r="F6">
        <v>3</v>
      </c>
    </row>
    <row r="7" spans="1:6" x14ac:dyDescent="0.25">
      <c r="A7" t="s">
        <v>52</v>
      </c>
      <c r="B7">
        <v>2</v>
      </c>
      <c r="C7" t="s">
        <v>59</v>
      </c>
      <c r="D7">
        <v>2</v>
      </c>
      <c r="E7" t="s">
        <v>55</v>
      </c>
      <c r="F7">
        <v>2</v>
      </c>
    </row>
    <row r="8" spans="1:6" x14ac:dyDescent="0.25">
      <c r="A8" t="s">
        <v>53</v>
      </c>
      <c r="B8">
        <v>1</v>
      </c>
      <c r="C8" t="s">
        <v>60</v>
      </c>
      <c r="D8">
        <v>1</v>
      </c>
      <c r="E8" t="s">
        <v>54</v>
      </c>
      <c r="F8">
        <v>1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BD034-B868-49AA-9F49-C9B683990054}">
  <sheetPr codeName="Hoja4"/>
  <dimension ref="A1:V189"/>
  <sheetViews>
    <sheetView showGridLines="0" view="pageBreakPreview" zoomScale="85" zoomScaleNormal="85" zoomScaleSheetLayoutView="85" workbookViewId="0">
      <pane xSplit="3" ySplit="9" topLeftCell="D27" activePane="bottomRight" state="frozen"/>
      <selection pane="topRight" activeCell="D1" sqref="D1"/>
      <selection pane="bottomLeft" activeCell="A10" sqref="A10"/>
      <selection pane="bottomRight" activeCell="C3" sqref="C3:U4"/>
    </sheetView>
  </sheetViews>
  <sheetFormatPr baseColWidth="10" defaultColWidth="0" defaultRowHeight="14.45" customHeight="1" zeroHeight="1" x14ac:dyDescent="0.25"/>
  <cols>
    <col min="1" max="4" width="38.5703125" customWidth="1"/>
    <col min="5" max="5" width="2.85546875" customWidth="1"/>
    <col min="6" max="6" width="18.5703125" customWidth="1"/>
    <col min="7" max="7" width="2.85546875" customWidth="1"/>
    <col min="8" max="8" width="18.5703125" customWidth="1"/>
    <col min="9" max="9" width="2.85546875" customWidth="1"/>
    <col min="10" max="10" width="18.5703125" customWidth="1"/>
    <col min="11" max="11" width="23.85546875" customWidth="1"/>
    <col min="12" max="14" width="38.5703125" customWidth="1"/>
    <col min="15" max="15" width="2.85546875" customWidth="1"/>
    <col min="16" max="16" width="18.5703125" customWidth="1"/>
    <col min="17" max="17" width="2.85546875" customWidth="1"/>
    <col min="18" max="18" width="18.5703125" customWidth="1"/>
    <col min="19" max="19" width="2.85546875" customWidth="1"/>
    <col min="20" max="20" width="18.5703125" customWidth="1"/>
    <col min="21" max="21" width="23.7109375" customWidth="1"/>
    <col min="22" max="22" width="11.42578125" customWidth="1"/>
    <col min="23" max="16384" width="11.42578125" hidden="1"/>
  </cols>
  <sheetData>
    <row r="1" spans="1:21" ht="23.25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23.2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1" s="1" customFormat="1" ht="15" customHeight="1" x14ac:dyDescent="0.25">
      <c r="A3" s="46" t="s">
        <v>87</v>
      </c>
      <c r="B3" s="46"/>
      <c r="C3" s="47" t="s">
        <v>86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1:21" s="1" customFormat="1" ht="15" x14ac:dyDescent="0.25">
      <c r="A4" s="46"/>
      <c r="B4" s="46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</row>
    <row r="5" spans="1:21" s="1" customFormat="1" ht="15" x14ac:dyDescent="0.25">
      <c r="A5" s="38" t="s">
        <v>88</v>
      </c>
      <c r="B5" s="36"/>
      <c r="C5" s="36"/>
      <c r="D5" s="36"/>
      <c r="E5" s="36"/>
      <c r="F5" s="37" t="s">
        <v>90</v>
      </c>
      <c r="G5" s="37"/>
      <c r="H5" s="37"/>
      <c r="I5" s="37"/>
      <c r="J5" s="37"/>
      <c r="K5" s="37"/>
      <c r="L5" s="8" t="s">
        <v>92</v>
      </c>
      <c r="M5" s="37" t="s">
        <v>162</v>
      </c>
      <c r="N5" s="37"/>
      <c r="O5" s="38" t="s">
        <v>95</v>
      </c>
      <c r="P5" s="38"/>
      <c r="Q5" s="38"/>
      <c r="R5" s="37" t="s">
        <v>3</v>
      </c>
      <c r="S5" s="37"/>
      <c r="T5" s="37"/>
      <c r="U5" s="37"/>
    </row>
    <row r="6" spans="1:21" s="1" customFormat="1" ht="15" x14ac:dyDescent="0.25">
      <c r="A6" s="36" t="s">
        <v>89</v>
      </c>
      <c r="B6" s="36"/>
      <c r="C6" s="37" t="s">
        <v>93</v>
      </c>
      <c r="D6" s="37"/>
      <c r="E6" s="37"/>
      <c r="F6" s="38" t="s">
        <v>91</v>
      </c>
      <c r="G6" s="38"/>
      <c r="H6" s="36"/>
      <c r="I6" s="36"/>
      <c r="J6" s="36"/>
      <c r="K6" s="37"/>
      <c r="L6" s="37"/>
      <c r="M6" s="37"/>
      <c r="N6" s="9" t="s">
        <v>94</v>
      </c>
      <c r="O6" s="39" t="s">
        <v>96</v>
      </c>
      <c r="P6" s="40"/>
      <c r="Q6" s="40"/>
      <c r="R6" s="40"/>
      <c r="S6" s="40"/>
      <c r="T6" s="40"/>
      <c r="U6" s="40"/>
    </row>
    <row r="7" spans="1:21" s="1" customFormat="1" ht="15" x14ac:dyDescent="0.25">
      <c r="A7" s="41" t="s">
        <v>97</v>
      </c>
      <c r="B7" s="42" t="s">
        <v>98</v>
      </c>
      <c r="C7" s="42" t="s">
        <v>99</v>
      </c>
      <c r="D7" s="43" t="s">
        <v>100</v>
      </c>
      <c r="E7" s="44"/>
      <c r="F7" s="44"/>
      <c r="G7" s="44"/>
      <c r="H7" s="44"/>
      <c r="I7" s="44"/>
      <c r="J7" s="44"/>
      <c r="K7" s="44"/>
      <c r="L7" s="25" t="s">
        <v>107</v>
      </c>
      <c r="M7" s="25" t="s">
        <v>108</v>
      </c>
      <c r="N7" s="26" t="s">
        <v>106</v>
      </c>
      <c r="O7" s="26"/>
      <c r="P7" s="26"/>
      <c r="Q7" s="26"/>
      <c r="R7" s="26"/>
      <c r="S7" s="26"/>
      <c r="T7" s="26"/>
      <c r="U7" s="26"/>
    </row>
    <row r="8" spans="1:21" s="1" customFormat="1" ht="14.45" customHeight="1" x14ac:dyDescent="0.25">
      <c r="A8" s="41"/>
      <c r="B8" s="42"/>
      <c r="C8" s="42"/>
      <c r="D8" s="27" t="s">
        <v>101</v>
      </c>
      <c r="E8" s="28" t="s">
        <v>102</v>
      </c>
      <c r="F8" s="29"/>
      <c r="G8" s="28" t="s">
        <v>103</v>
      </c>
      <c r="H8" s="29"/>
      <c r="I8" s="28" t="s">
        <v>104</v>
      </c>
      <c r="J8" s="29"/>
      <c r="K8" s="34" t="s">
        <v>105</v>
      </c>
      <c r="L8" s="25"/>
      <c r="M8" s="25"/>
      <c r="N8" s="25" t="s">
        <v>109</v>
      </c>
      <c r="O8" s="19" t="s">
        <v>102</v>
      </c>
      <c r="P8" s="20"/>
      <c r="Q8" s="19" t="s">
        <v>103</v>
      </c>
      <c r="R8" s="20"/>
      <c r="S8" s="19" t="s">
        <v>104</v>
      </c>
      <c r="T8" s="20"/>
      <c r="U8" s="23" t="s">
        <v>105</v>
      </c>
    </row>
    <row r="9" spans="1:21" s="1" customFormat="1" ht="15" x14ac:dyDescent="0.25">
      <c r="A9" s="41"/>
      <c r="B9" s="42"/>
      <c r="C9" s="42"/>
      <c r="D9" s="27"/>
      <c r="E9" s="30"/>
      <c r="F9" s="31"/>
      <c r="G9" s="32"/>
      <c r="H9" s="33"/>
      <c r="I9" s="32"/>
      <c r="J9" s="33"/>
      <c r="K9" s="35"/>
      <c r="L9" s="25"/>
      <c r="M9" s="25"/>
      <c r="N9" s="25"/>
      <c r="O9" s="21"/>
      <c r="P9" s="22"/>
      <c r="Q9" s="21"/>
      <c r="R9" s="22"/>
      <c r="S9" s="21"/>
      <c r="T9" s="22"/>
      <c r="U9" s="24"/>
    </row>
    <row r="10" spans="1:21" ht="30" x14ac:dyDescent="0.25">
      <c r="A10" s="16" t="s">
        <v>4</v>
      </c>
      <c r="B10" s="13" t="s">
        <v>27</v>
      </c>
      <c r="C10" s="2" t="s">
        <v>24</v>
      </c>
      <c r="D10" s="16" t="s">
        <v>120</v>
      </c>
      <c r="E10" s="4">
        <f>IFERROR(+VLOOKUP(F10,Indexes!$A$2:$B$8,2,0),"")</f>
        <v>4</v>
      </c>
      <c r="F10" s="11" t="s">
        <v>50</v>
      </c>
      <c r="G10" s="4">
        <f>+IFERROR(VLOOKUP(H10,Indexes!$C$2:$D$8,2,0),"")</f>
        <v>2</v>
      </c>
      <c r="H10" s="11" t="s">
        <v>59</v>
      </c>
      <c r="I10" s="4">
        <f>+IFERROR(VLOOKUP(J10,Indexes!$E$2:$F$8,2,0),"")</f>
        <v>2</v>
      </c>
      <c r="J10" s="11" t="s">
        <v>55</v>
      </c>
      <c r="K10" s="6">
        <f>I10*G10*E10</f>
        <v>16</v>
      </c>
      <c r="L10" s="13" t="s">
        <v>85</v>
      </c>
      <c r="M10" s="13" t="s">
        <v>145</v>
      </c>
      <c r="N10" s="2"/>
      <c r="O10" s="4" t="str">
        <f>IFERROR(VLOOKUP(P10,#REF!,2,0),"")</f>
        <v/>
      </c>
      <c r="P10" s="5"/>
      <c r="Q10" s="4" t="str">
        <f>+IFERROR(VLOOKUP(R10,#REF!,2,0),"")</f>
        <v/>
      </c>
      <c r="R10" s="5"/>
      <c r="S10" s="4" t="str">
        <f>+IFERROR(VLOOKUP(T10,#REF!,2,0),"")</f>
        <v/>
      </c>
      <c r="T10" s="5"/>
      <c r="U10" s="6" t="str">
        <f>IFERROR((VLOOKUP(P10,#REF!,2,0)*VLOOKUP(R10,#REF!,2,0)*VLOOKUP(T10,#REF!,2,0)),"")</f>
        <v/>
      </c>
    </row>
    <row r="11" spans="1:21" ht="15" x14ac:dyDescent="0.25">
      <c r="A11" s="18"/>
      <c r="B11" s="14"/>
      <c r="C11" s="3" t="s">
        <v>25</v>
      </c>
      <c r="D11" s="18"/>
      <c r="E11" s="4">
        <f>IFERROR(+VLOOKUP(F11,Indexes!$A$2:$B$8,2,0),"")</f>
        <v>3</v>
      </c>
      <c r="F11" s="11" t="s">
        <v>51</v>
      </c>
      <c r="G11" s="4">
        <f>+IFERROR(VLOOKUP(H11,Indexes!$C$2:$D$8,2,0),"")</f>
        <v>3</v>
      </c>
      <c r="H11" s="11" t="s">
        <v>58</v>
      </c>
      <c r="I11" s="4">
        <f>+IFERROR(VLOOKUP(J11,Indexes!$E$2:$F$8,2,0),"")</f>
        <v>3</v>
      </c>
      <c r="J11" s="11" t="s">
        <v>64</v>
      </c>
      <c r="K11" s="6">
        <f t="shared" ref="K11:K74" si="0">I11*G11*E11</f>
        <v>27</v>
      </c>
      <c r="L11" s="14"/>
      <c r="M11" s="14"/>
      <c r="N11" s="2"/>
      <c r="O11" s="4" t="str">
        <f>IFERROR(VLOOKUP(P11,#REF!,2,0),"")</f>
        <v/>
      </c>
      <c r="P11" s="5"/>
      <c r="Q11" s="4" t="str">
        <f>+IFERROR(VLOOKUP(R11,#REF!,2,0),"")</f>
        <v/>
      </c>
      <c r="R11" s="5"/>
      <c r="S11" s="4" t="str">
        <f>+IFERROR(VLOOKUP(T11,#REF!,2,0),"")</f>
        <v/>
      </c>
      <c r="T11" s="5"/>
      <c r="U11" s="6" t="str">
        <f>IFERROR((VLOOKUP(P11,#REF!,2,0)*VLOOKUP(R11,#REF!,2,0)*VLOOKUP(T11,#REF!,2,0)),"")</f>
        <v/>
      </c>
    </row>
    <row r="12" spans="1:21" ht="30" x14ac:dyDescent="0.25">
      <c r="A12" s="16" t="s">
        <v>5</v>
      </c>
      <c r="B12" s="13" t="s">
        <v>27</v>
      </c>
      <c r="C12" s="2" t="s">
        <v>24</v>
      </c>
      <c r="D12" s="16" t="s">
        <v>121</v>
      </c>
      <c r="E12" s="4">
        <f>IFERROR(+VLOOKUP(F12,Indexes!$A$2:$B$8,2,0),"")</f>
        <v>4</v>
      </c>
      <c r="F12" s="11" t="s">
        <v>50</v>
      </c>
      <c r="G12" s="4">
        <f>+IFERROR(VLOOKUP(H12,Indexes!$C$2:$D$8,2,0),"")</f>
        <v>2</v>
      </c>
      <c r="H12" s="11" t="s">
        <v>59</v>
      </c>
      <c r="I12" s="4">
        <f>+IFERROR(VLOOKUP(J12,Indexes!$E$2:$F$8,2,0),"")</f>
        <v>2</v>
      </c>
      <c r="J12" s="11" t="s">
        <v>55</v>
      </c>
      <c r="K12" s="6">
        <f t="shared" si="0"/>
        <v>16</v>
      </c>
      <c r="L12" s="13" t="s">
        <v>84</v>
      </c>
      <c r="M12" s="13" t="s">
        <v>146</v>
      </c>
      <c r="N12" s="2"/>
      <c r="O12" s="4" t="str">
        <f>IFERROR(VLOOKUP(P12,#REF!,2,0),"")</f>
        <v/>
      </c>
      <c r="P12" s="5"/>
      <c r="Q12" s="4" t="str">
        <f>+IFERROR(VLOOKUP(R12,#REF!,2,0),"")</f>
        <v/>
      </c>
      <c r="R12" s="5"/>
      <c r="S12" s="4" t="str">
        <f>+IFERROR(VLOOKUP(T12,#REF!,2,0),"")</f>
        <v/>
      </c>
      <c r="T12" s="5"/>
      <c r="U12" s="6" t="str">
        <f>IFERROR((VLOOKUP(P12,#REF!,2,0)*VLOOKUP(R12,#REF!,2,0)*VLOOKUP(T12,#REF!,2,0)),"")</f>
        <v/>
      </c>
    </row>
    <row r="13" spans="1:21" ht="30" x14ac:dyDescent="0.25">
      <c r="A13" s="18"/>
      <c r="B13" s="14"/>
      <c r="C13" s="2" t="s">
        <v>26</v>
      </c>
      <c r="D13" s="18"/>
      <c r="E13" s="4">
        <f>IFERROR(+VLOOKUP(F13,Indexes!$A$2:$B$8,2,0),"")</f>
        <v>5</v>
      </c>
      <c r="F13" s="11" t="s">
        <v>49</v>
      </c>
      <c r="G13" s="4">
        <f>+IFERROR(VLOOKUP(H13,Indexes!$C$2:$D$8,2,0),"")</f>
        <v>1</v>
      </c>
      <c r="H13" s="11" t="s">
        <v>60</v>
      </c>
      <c r="I13" s="4">
        <f>+IFERROR(VLOOKUP(J13,Indexes!$E$2:$F$8,2,0),"")</f>
        <v>1</v>
      </c>
      <c r="J13" s="11" t="s">
        <v>54</v>
      </c>
      <c r="K13" s="6">
        <f t="shared" si="0"/>
        <v>5</v>
      </c>
      <c r="L13" s="14"/>
      <c r="M13" s="14"/>
      <c r="N13" s="2"/>
      <c r="O13" s="4" t="str">
        <f>IFERROR(VLOOKUP(P13,#REF!,2,0),"")</f>
        <v/>
      </c>
      <c r="P13" s="5"/>
      <c r="Q13" s="4" t="str">
        <f>+IFERROR(VLOOKUP(R13,#REF!,2,0),"")</f>
        <v/>
      </c>
      <c r="R13" s="5"/>
      <c r="S13" s="4" t="str">
        <f>+IFERROR(VLOOKUP(T13,#REF!,2,0),"")</f>
        <v/>
      </c>
      <c r="T13" s="5"/>
      <c r="U13" s="6" t="str">
        <f>IFERROR((VLOOKUP(P13,#REF!,2,0)*VLOOKUP(R13,#REF!,2,0)*VLOOKUP(T13,#REF!,2,0)),"")</f>
        <v/>
      </c>
    </row>
    <row r="14" spans="1:21" ht="15" x14ac:dyDescent="0.25">
      <c r="A14" s="16" t="s">
        <v>6</v>
      </c>
      <c r="B14" s="13" t="s">
        <v>110</v>
      </c>
      <c r="C14" s="2" t="s">
        <v>27</v>
      </c>
      <c r="D14" s="16" t="s">
        <v>121</v>
      </c>
      <c r="E14" s="4">
        <f>IFERROR(+VLOOKUP(F14,Indexes!$A$2:$B$8,2,0),"")</f>
        <v>4</v>
      </c>
      <c r="F14" s="11" t="s">
        <v>50</v>
      </c>
      <c r="G14" s="4">
        <f>+IFERROR(VLOOKUP(H14,Indexes!$C$2:$D$8,2,0),"")</f>
        <v>2</v>
      </c>
      <c r="H14" s="11" t="s">
        <v>59</v>
      </c>
      <c r="I14" s="4">
        <f>+IFERROR(VLOOKUP(J14,Indexes!$E$2:$F$8,2,0),"")</f>
        <v>1</v>
      </c>
      <c r="J14" s="11" t="s">
        <v>54</v>
      </c>
      <c r="K14" s="6">
        <f t="shared" si="0"/>
        <v>8</v>
      </c>
      <c r="L14" s="13" t="s">
        <v>83</v>
      </c>
      <c r="M14" s="13" t="s">
        <v>145</v>
      </c>
      <c r="N14" s="2"/>
      <c r="O14" s="4" t="str">
        <f>IFERROR(VLOOKUP(P14,#REF!,2,0),"")</f>
        <v/>
      </c>
      <c r="P14" s="5"/>
      <c r="Q14" s="4" t="str">
        <f>+IFERROR(VLOOKUP(R14,#REF!,2,0),"")</f>
        <v/>
      </c>
      <c r="R14" s="5"/>
      <c r="S14" s="4" t="str">
        <f>+IFERROR(VLOOKUP(T14,#REF!,2,0),"")</f>
        <v/>
      </c>
      <c r="T14" s="5"/>
      <c r="U14" s="6" t="str">
        <f>IFERROR((VLOOKUP(P14,#REF!,2,0)*VLOOKUP(R14,#REF!,2,0)*VLOOKUP(T14,#REF!,2,0)),"")</f>
        <v/>
      </c>
    </row>
    <row r="15" spans="1:21" ht="30" x14ac:dyDescent="0.25">
      <c r="A15" s="18"/>
      <c r="B15" s="14"/>
      <c r="C15" s="2" t="s">
        <v>26</v>
      </c>
      <c r="D15" s="18"/>
      <c r="E15" s="4">
        <f>IFERROR(+VLOOKUP(F15,Indexes!$A$2:$B$8,2,0),"")</f>
        <v>4</v>
      </c>
      <c r="F15" s="11" t="s">
        <v>50</v>
      </c>
      <c r="G15" s="4">
        <f>+IFERROR(VLOOKUP(H15,Indexes!$C$2:$D$8,2,0),"")</f>
        <v>2</v>
      </c>
      <c r="H15" s="11" t="s">
        <v>59</v>
      </c>
      <c r="I15" s="4">
        <f>+IFERROR(VLOOKUP(J15,Indexes!$E$2:$F$8,2,0),"")</f>
        <v>1</v>
      </c>
      <c r="J15" s="11" t="s">
        <v>54</v>
      </c>
      <c r="K15" s="6">
        <f t="shared" si="0"/>
        <v>8</v>
      </c>
      <c r="L15" s="14"/>
      <c r="M15" s="14"/>
      <c r="N15" s="2"/>
      <c r="O15" s="4" t="str">
        <f>IFERROR(VLOOKUP(P15,#REF!,2,0),"")</f>
        <v/>
      </c>
      <c r="P15" s="5"/>
      <c r="Q15" s="4" t="str">
        <f>+IFERROR(VLOOKUP(R15,#REF!,2,0),"")</f>
        <v/>
      </c>
      <c r="R15" s="5"/>
      <c r="S15" s="4" t="str">
        <f>+IFERROR(VLOOKUP(T15,#REF!,2,0),"")</f>
        <v/>
      </c>
      <c r="T15" s="5"/>
      <c r="U15" s="6" t="str">
        <f>IFERROR((VLOOKUP(P15,#REF!,2,0)*VLOOKUP(R15,#REF!,2,0)*VLOOKUP(T15,#REF!,2,0)),"")</f>
        <v/>
      </c>
    </row>
    <row r="16" spans="1:21" ht="38.25" x14ac:dyDescent="0.25">
      <c r="A16" s="16" t="s">
        <v>7</v>
      </c>
      <c r="B16" s="13" t="s">
        <v>111</v>
      </c>
      <c r="C16" s="7" t="s">
        <v>28</v>
      </c>
      <c r="D16" s="16" t="s">
        <v>122</v>
      </c>
      <c r="E16" s="4">
        <f>IFERROR(+VLOOKUP(F16,Indexes!$A$2:$B$8,2,0),"")</f>
        <v>5</v>
      </c>
      <c r="F16" s="11" t="s">
        <v>49</v>
      </c>
      <c r="G16" s="4">
        <f>+IFERROR(VLOOKUP(H16,Indexes!$C$2:$D$8,2,0),"")</f>
        <v>2</v>
      </c>
      <c r="H16" s="11" t="s">
        <v>59</v>
      </c>
      <c r="I16" s="4">
        <f>+IFERROR(VLOOKUP(J16,Indexes!$E$2:$F$8,2,0),"")</f>
        <v>2</v>
      </c>
      <c r="J16" s="11" t="s">
        <v>55</v>
      </c>
      <c r="K16" s="6">
        <f t="shared" si="0"/>
        <v>20</v>
      </c>
      <c r="L16" s="13" t="s">
        <v>82</v>
      </c>
      <c r="M16" s="13" t="s">
        <v>147</v>
      </c>
      <c r="N16" s="2"/>
      <c r="O16" s="4" t="str">
        <f>IFERROR(VLOOKUP(P16,#REF!,2,0),"")</f>
        <v/>
      </c>
      <c r="P16" s="5"/>
      <c r="Q16" s="4" t="str">
        <f>+IFERROR(VLOOKUP(R16,#REF!,2,0),"")</f>
        <v/>
      </c>
      <c r="R16" s="5"/>
      <c r="S16" s="4" t="str">
        <f>+IFERROR(VLOOKUP(T16,#REF!,2,0),"")</f>
        <v/>
      </c>
      <c r="T16" s="5"/>
      <c r="U16" s="6" t="str">
        <f>IFERROR((VLOOKUP(P16,#REF!,2,0)*VLOOKUP(R16,#REF!,2,0)*VLOOKUP(T16,#REF!,2,0)),"")</f>
        <v/>
      </c>
    </row>
    <row r="17" spans="1:21" ht="15" x14ac:dyDescent="0.25">
      <c r="A17" s="17"/>
      <c r="B17" s="15"/>
      <c r="C17" s="2" t="s">
        <v>29</v>
      </c>
      <c r="D17" s="17"/>
      <c r="E17" s="4">
        <f>IFERROR(+VLOOKUP(F17,Indexes!$A$2:$B$8,2,0),"")</f>
        <v>4</v>
      </c>
      <c r="F17" s="11" t="s">
        <v>50</v>
      </c>
      <c r="G17" s="4">
        <f>+IFERROR(VLOOKUP(H17,Indexes!$C$2:$D$8,2,0),"")</f>
        <v>1</v>
      </c>
      <c r="H17" s="11" t="s">
        <v>60</v>
      </c>
      <c r="I17" s="4">
        <f>+IFERROR(VLOOKUP(J17,Indexes!$E$2:$F$8,2,0),"")</f>
        <v>2</v>
      </c>
      <c r="J17" s="11" t="s">
        <v>55</v>
      </c>
      <c r="K17" s="6">
        <f t="shared" si="0"/>
        <v>8</v>
      </c>
      <c r="L17" s="15"/>
      <c r="M17" s="15"/>
      <c r="N17" s="2"/>
      <c r="O17" s="4" t="str">
        <f>IFERROR(VLOOKUP(P17,#REF!,2,0),"")</f>
        <v/>
      </c>
      <c r="P17" s="5"/>
      <c r="Q17" s="4" t="str">
        <f>+IFERROR(VLOOKUP(R17,#REF!,2,0),"")</f>
        <v/>
      </c>
      <c r="R17" s="5"/>
      <c r="S17" s="4" t="str">
        <f>+IFERROR(VLOOKUP(T17,#REF!,2,0),"")</f>
        <v/>
      </c>
      <c r="T17" s="5"/>
      <c r="U17" s="6" t="str">
        <f>IFERROR((VLOOKUP(P17,#REF!,2,0)*VLOOKUP(R17,#REF!,2,0)*VLOOKUP(T17,#REF!,2,0)),"")</f>
        <v/>
      </c>
    </row>
    <row r="18" spans="1:21" ht="30" x14ac:dyDescent="0.25">
      <c r="A18" s="18"/>
      <c r="B18" s="14"/>
      <c r="C18" s="2" t="s">
        <v>30</v>
      </c>
      <c r="D18" s="18"/>
      <c r="E18" s="4">
        <f>IFERROR(+VLOOKUP(F18,Indexes!$A$2:$B$8,2,0),"")</f>
        <v>6</v>
      </c>
      <c r="F18" s="11" t="s">
        <v>48</v>
      </c>
      <c r="G18" s="4">
        <f>+IFERROR(VLOOKUP(H18,Indexes!$C$2:$D$8,2,0),"")</f>
        <v>4</v>
      </c>
      <c r="H18" s="11" t="s">
        <v>57</v>
      </c>
      <c r="I18" s="4">
        <f>+IFERROR(VLOOKUP(J18,Indexes!$E$2:$F$8,2,0),"")</f>
        <v>2</v>
      </c>
      <c r="J18" s="11" t="s">
        <v>55</v>
      </c>
      <c r="K18" s="6">
        <f t="shared" si="0"/>
        <v>48</v>
      </c>
      <c r="L18" s="14"/>
      <c r="M18" s="14"/>
      <c r="N18" s="2"/>
      <c r="O18" s="4" t="str">
        <f>IFERROR(VLOOKUP(P18,#REF!,2,0),"")</f>
        <v/>
      </c>
      <c r="P18" s="5"/>
      <c r="Q18" s="4" t="str">
        <f>+IFERROR(VLOOKUP(R18,#REF!,2,0),"")</f>
        <v/>
      </c>
      <c r="R18" s="5"/>
      <c r="S18" s="4" t="str">
        <f>+IFERROR(VLOOKUP(T18,#REF!,2,0),"")</f>
        <v/>
      </c>
      <c r="T18" s="5"/>
      <c r="U18" s="6" t="str">
        <f>IFERROR((VLOOKUP(P18,#REF!,2,0)*VLOOKUP(R18,#REF!,2,0)*VLOOKUP(T18,#REF!,2,0)),"")</f>
        <v/>
      </c>
    </row>
    <row r="19" spans="1:21" ht="120" x14ac:dyDescent="0.25">
      <c r="A19" s="2" t="s">
        <v>8</v>
      </c>
      <c r="B19" s="3" t="s">
        <v>112</v>
      </c>
      <c r="C19" s="2" t="s">
        <v>31</v>
      </c>
      <c r="D19" s="2" t="s">
        <v>123</v>
      </c>
      <c r="E19" s="4">
        <f>IFERROR(+VLOOKUP(F19,Indexes!$A$2:$B$8,2,0),"")</f>
        <v>5</v>
      </c>
      <c r="F19" s="11" t="s">
        <v>49</v>
      </c>
      <c r="G19" s="4">
        <f>+IFERROR(VLOOKUP(H19,Indexes!$C$2:$D$8,2,0),"")</f>
        <v>2</v>
      </c>
      <c r="H19" s="11" t="s">
        <v>59</v>
      </c>
      <c r="I19" s="4">
        <f>+IFERROR(VLOOKUP(J19,Indexes!$E$2:$F$8,2,0),"")</f>
        <v>1</v>
      </c>
      <c r="J19" s="11" t="s">
        <v>54</v>
      </c>
      <c r="K19" s="6">
        <f t="shared" si="0"/>
        <v>10</v>
      </c>
      <c r="L19" s="2" t="s">
        <v>81</v>
      </c>
      <c r="M19" s="2" t="s">
        <v>148</v>
      </c>
      <c r="N19" s="2"/>
      <c r="O19" s="4" t="str">
        <f>IFERROR(VLOOKUP(P19,#REF!,2,0),"")</f>
        <v/>
      </c>
      <c r="P19" s="5"/>
      <c r="Q19" s="4" t="str">
        <f>+IFERROR(VLOOKUP(R19,#REF!,2,0),"")</f>
        <v/>
      </c>
      <c r="R19" s="5"/>
      <c r="S19" s="4" t="str">
        <f>+IFERROR(VLOOKUP(T19,#REF!,2,0),"")</f>
        <v/>
      </c>
      <c r="T19" s="5"/>
      <c r="U19" s="6" t="str">
        <f>IFERROR((VLOOKUP(P19,#REF!,2,0)*VLOOKUP(R19,#REF!,2,0)*VLOOKUP(T19,#REF!,2,0)),"")</f>
        <v/>
      </c>
    </row>
    <row r="20" spans="1:21" ht="15" x14ac:dyDescent="0.25">
      <c r="A20" s="13" t="s">
        <v>9</v>
      </c>
      <c r="B20" s="13" t="s">
        <v>113</v>
      </c>
      <c r="C20" s="2" t="s">
        <v>32</v>
      </c>
      <c r="D20" s="13" t="s">
        <v>124</v>
      </c>
      <c r="E20" s="4">
        <f>IFERROR(+VLOOKUP(F20,Indexes!$A$2:$B$8,2,0),"")</f>
        <v>4</v>
      </c>
      <c r="F20" s="11" t="s">
        <v>50</v>
      </c>
      <c r="G20" s="4">
        <f>+IFERROR(VLOOKUP(H20,Indexes!$C$2:$D$8,2,0),"")</f>
        <v>3</v>
      </c>
      <c r="H20" s="11" t="s">
        <v>58</v>
      </c>
      <c r="I20" s="4">
        <f>+IFERROR(VLOOKUP(J20,Indexes!$E$2:$F$8,2,0),"")</f>
        <v>2</v>
      </c>
      <c r="J20" s="11" t="s">
        <v>55</v>
      </c>
      <c r="K20" s="6">
        <f t="shared" si="0"/>
        <v>24</v>
      </c>
      <c r="L20" s="13" t="s">
        <v>80</v>
      </c>
      <c r="M20" s="13" t="s">
        <v>149</v>
      </c>
      <c r="N20" s="2"/>
      <c r="O20" s="4" t="str">
        <f>IFERROR(VLOOKUP(P20,#REF!,2,0),"")</f>
        <v/>
      </c>
      <c r="P20" s="5"/>
      <c r="Q20" s="4" t="str">
        <f>+IFERROR(VLOOKUP(R20,#REF!,2,0),"")</f>
        <v/>
      </c>
      <c r="R20" s="5"/>
      <c r="S20" s="4" t="str">
        <f>+IFERROR(VLOOKUP(T20,#REF!,2,0),"")</f>
        <v/>
      </c>
      <c r="T20" s="5"/>
      <c r="U20" s="6" t="str">
        <f>IFERROR((VLOOKUP(P20,#REF!,2,0)*VLOOKUP(R20,#REF!,2,0)*VLOOKUP(T20,#REF!,2,0)),"")</f>
        <v/>
      </c>
    </row>
    <row r="21" spans="1:21" ht="30" x14ac:dyDescent="0.25">
      <c r="A21" s="15"/>
      <c r="B21" s="15"/>
      <c r="C21" s="2" t="s">
        <v>33</v>
      </c>
      <c r="D21" s="15"/>
      <c r="E21" s="4">
        <f>IFERROR(+VLOOKUP(F21,Indexes!$A$2:$B$8,2,0),"")</f>
        <v>5</v>
      </c>
      <c r="F21" s="11" t="s">
        <v>49</v>
      </c>
      <c r="G21" s="4">
        <f>+IFERROR(VLOOKUP(H21,Indexes!$C$2:$D$8,2,0),"")</f>
        <v>2</v>
      </c>
      <c r="H21" s="11" t="s">
        <v>59</v>
      </c>
      <c r="I21" s="4">
        <f>+IFERROR(VLOOKUP(J21,Indexes!$E$2:$F$8,2,0),"")</f>
        <v>2</v>
      </c>
      <c r="J21" s="11" t="s">
        <v>55</v>
      </c>
      <c r="K21" s="6">
        <f t="shared" si="0"/>
        <v>20</v>
      </c>
      <c r="L21" s="15"/>
      <c r="M21" s="15"/>
      <c r="N21" s="2"/>
      <c r="O21" s="4" t="str">
        <f>IFERROR(VLOOKUP(P21,#REF!,2,0),"")</f>
        <v/>
      </c>
      <c r="P21" s="5"/>
      <c r="Q21" s="4" t="str">
        <f>+IFERROR(VLOOKUP(R21,#REF!,2,0),"")</f>
        <v/>
      </c>
      <c r="R21" s="5"/>
      <c r="S21" s="4" t="str">
        <f>+IFERROR(VLOOKUP(T21,#REF!,2,0),"")</f>
        <v/>
      </c>
      <c r="T21" s="5"/>
      <c r="U21" s="6" t="str">
        <f>IFERROR((VLOOKUP(P21,#REF!,2,0)*VLOOKUP(R21,#REF!,2,0)*VLOOKUP(T21,#REF!,2,0)),"")</f>
        <v/>
      </c>
    </row>
    <row r="22" spans="1:21" ht="15" x14ac:dyDescent="0.25">
      <c r="A22" s="15"/>
      <c r="B22" s="14"/>
      <c r="C22" s="2" t="s">
        <v>25</v>
      </c>
      <c r="D22" s="15"/>
      <c r="E22" s="4">
        <f>IFERROR(+VLOOKUP(F22,Indexes!$A$2:$B$8,2,0),"")</f>
        <v>3</v>
      </c>
      <c r="F22" s="11" t="s">
        <v>51</v>
      </c>
      <c r="G22" s="4">
        <f>+IFERROR(VLOOKUP(H22,Indexes!$C$2:$D$8,2,0),"")</f>
        <v>2</v>
      </c>
      <c r="H22" s="11" t="s">
        <v>59</v>
      </c>
      <c r="I22" s="4">
        <f>+IFERROR(VLOOKUP(J22,Indexes!$E$2:$F$8,2,0),"")</f>
        <v>2</v>
      </c>
      <c r="J22" s="11" t="s">
        <v>55</v>
      </c>
      <c r="K22" s="6">
        <f t="shared" si="0"/>
        <v>12</v>
      </c>
      <c r="L22" s="15"/>
      <c r="M22" s="15"/>
      <c r="N22" s="2"/>
      <c r="O22" s="4" t="str">
        <f>IFERROR(VLOOKUP(P22,#REF!,2,0),"")</f>
        <v/>
      </c>
      <c r="P22" s="5"/>
      <c r="Q22" s="4" t="str">
        <f>+IFERROR(VLOOKUP(R22,#REF!,2,0),"")</f>
        <v/>
      </c>
      <c r="R22" s="5"/>
      <c r="S22" s="4" t="str">
        <f>+IFERROR(VLOOKUP(T22,#REF!,2,0),"")</f>
        <v/>
      </c>
      <c r="T22" s="5"/>
      <c r="U22" s="6" t="str">
        <f>IFERROR((VLOOKUP(P22,#REF!,2,0)*VLOOKUP(R22,#REF!,2,0)*VLOOKUP(T22,#REF!,2,0)),"")</f>
        <v/>
      </c>
    </row>
    <row r="23" spans="1:21" ht="15" x14ac:dyDescent="0.25">
      <c r="A23" s="15"/>
      <c r="B23" s="13" t="s">
        <v>114</v>
      </c>
      <c r="C23" s="2" t="s">
        <v>34</v>
      </c>
      <c r="D23" s="15"/>
      <c r="E23" s="4">
        <f>IFERROR(+VLOOKUP(F23,Indexes!$A$2:$B$8,2,0),"")</f>
        <v>5</v>
      </c>
      <c r="F23" s="11" t="s">
        <v>49</v>
      </c>
      <c r="G23" s="4">
        <f>+IFERROR(VLOOKUP(H23,Indexes!$C$2:$D$8,2,0),"")</f>
        <v>2</v>
      </c>
      <c r="H23" s="11" t="s">
        <v>59</v>
      </c>
      <c r="I23" s="4">
        <f>+IFERROR(VLOOKUP(J23,Indexes!$E$2:$F$8,2,0),"")</f>
        <v>3</v>
      </c>
      <c r="J23" s="11" t="s">
        <v>64</v>
      </c>
      <c r="K23" s="6">
        <f t="shared" si="0"/>
        <v>30</v>
      </c>
      <c r="L23" s="15"/>
      <c r="M23" s="15"/>
      <c r="N23" s="2"/>
      <c r="O23" s="4" t="str">
        <f>IFERROR(VLOOKUP(P23,#REF!,2,0),"")</f>
        <v/>
      </c>
      <c r="P23" s="5"/>
      <c r="Q23" s="4" t="str">
        <f>+IFERROR(VLOOKUP(R23,#REF!,2,0),"")</f>
        <v/>
      </c>
      <c r="R23" s="5"/>
      <c r="S23" s="4" t="str">
        <f>+IFERROR(VLOOKUP(T23,#REF!,2,0),"")</f>
        <v/>
      </c>
      <c r="T23" s="5"/>
      <c r="U23" s="6" t="str">
        <f>IFERROR((VLOOKUP(P23,#REF!,2,0)*VLOOKUP(R23,#REF!,2,0)*VLOOKUP(T23,#REF!,2,0)),"")</f>
        <v/>
      </c>
    </row>
    <row r="24" spans="1:21" ht="45" x14ac:dyDescent="0.25">
      <c r="A24" s="14"/>
      <c r="B24" s="14"/>
      <c r="C24" s="2" t="s">
        <v>35</v>
      </c>
      <c r="D24" s="14"/>
      <c r="E24" s="4">
        <f>IFERROR(+VLOOKUP(F24,Indexes!$A$2:$B$8,2,0),"")</f>
        <v>5</v>
      </c>
      <c r="F24" s="11" t="s">
        <v>49</v>
      </c>
      <c r="G24" s="4">
        <f>+IFERROR(VLOOKUP(H24,Indexes!$C$2:$D$8,2,0),"")</f>
        <v>2</v>
      </c>
      <c r="H24" s="11" t="s">
        <v>59</v>
      </c>
      <c r="I24" s="4">
        <f>+IFERROR(VLOOKUP(J24,Indexes!$E$2:$F$8,2,0),"")</f>
        <v>3</v>
      </c>
      <c r="J24" s="11" t="s">
        <v>64</v>
      </c>
      <c r="K24" s="6">
        <f t="shared" si="0"/>
        <v>30</v>
      </c>
      <c r="L24" s="14"/>
      <c r="M24" s="14"/>
      <c r="N24" s="2"/>
      <c r="O24" s="4" t="str">
        <f>IFERROR(VLOOKUP(P24,#REF!,2,0),"")</f>
        <v/>
      </c>
      <c r="P24" s="5"/>
      <c r="Q24" s="4" t="str">
        <f>+IFERROR(VLOOKUP(R24,#REF!,2,0),"")</f>
        <v/>
      </c>
      <c r="R24" s="5"/>
      <c r="S24" s="4" t="str">
        <f>+IFERROR(VLOOKUP(T24,#REF!,2,0),"")</f>
        <v/>
      </c>
      <c r="T24" s="5"/>
      <c r="U24" s="6" t="str">
        <f>IFERROR((VLOOKUP(P24,#REF!,2,0)*VLOOKUP(R24,#REF!,2,0)*VLOOKUP(T24,#REF!,2,0)),"")</f>
        <v/>
      </c>
    </row>
    <row r="25" spans="1:21" ht="45" x14ac:dyDescent="0.25">
      <c r="A25" s="13" t="s">
        <v>10</v>
      </c>
      <c r="B25" s="13" t="s">
        <v>27</v>
      </c>
      <c r="C25" s="2" t="s">
        <v>36</v>
      </c>
      <c r="D25" s="10" t="s">
        <v>125</v>
      </c>
      <c r="E25" s="4">
        <f>IFERROR(+VLOOKUP(F25,Indexes!$A$2:$B$8,2,0),"")</f>
        <v>5</v>
      </c>
      <c r="F25" s="11" t="s">
        <v>49</v>
      </c>
      <c r="G25" s="4">
        <f>+IFERROR(VLOOKUP(H25,Indexes!$C$2:$D$8,2,0),"")</f>
        <v>3</v>
      </c>
      <c r="H25" s="11" t="s">
        <v>58</v>
      </c>
      <c r="I25" s="4">
        <f>+IFERROR(VLOOKUP(J25,Indexes!$E$2:$F$8,2,0),"")</f>
        <v>7</v>
      </c>
      <c r="J25" s="11" t="s">
        <v>61</v>
      </c>
      <c r="K25" s="6">
        <f t="shared" si="0"/>
        <v>105</v>
      </c>
      <c r="L25" s="13" t="s">
        <v>79</v>
      </c>
      <c r="M25" s="13" t="s">
        <v>150</v>
      </c>
      <c r="N25" s="2"/>
      <c r="O25" s="4" t="str">
        <f>IFERROR(VLOOKUP(P25,#REF!,2,0),"")</f>
        <v/>
      </c>
      <c r="P25" s="5"/>
      <c r="Q25" s="4" t="str">
        <f>+IFERROR(VLOOKUP(R25,#REF!,2,0),"")</f>
        <v/>
      </c>
      <c r="R25" s="5"/>
      <c r="S25" s="4" t="str">
        <f>+IFERROR(VLOOKUP(T25,#REF!,2,0),"")</f>
        <v/>
      </c>
      <c r="T25" s="5"/>
      <c r="U25" s="6" t="str">
        <f>IFERROR((VLOOKUP(P25,#REF!,2,0)*VLOOKUP(R25,#REF!,2,0)*VLOOKUP(T25,#REF!,2,0)),"")</f>
        <v/>
      </c>
    </row>
    <row r="26" spans="1:21" ht="30" x14ac:dyDescent="0.25">
      <c r="A26" s="15"/>
      <c r="B26" s="14"/>
      <c r="C26" s="2" t="s">
        <v>25</v>
      </c>
      <c r="D26" s="2" t="s">
        <v>126</v>
      </c>
      <c r="E26" s="4">
        <f>IFERROR(+VLOOKUP(F26,Indexes!$A$2:$B$8,2,0),"")</f>
        <v>2</v>
      </c>
      <c r="F26" s="11" t="s">
        <v>52</v>
      </c>
      <c r="G26" s="4">
        <f>+IFERROR(VLOOKUP(H26,Indexes!$C$2:$D$8,2,0),"")</f>
        <v>3</v>
      </c>
      <c r="H26" s="11" t="s">
        <v>58</v>
      </c>
      <c r="I26" s="4">
        <f>+IFERROR(VLOOKUP(J26,Indexes!$E$2:$F$8,2,0),"")</f>
        <v>5</v>
      </c>
      <c r="J26" s="11" t="s">
        <v>63</v>
      </c>
      <c r="K26" s="6">
        <f t="shared" si="0"/>
        <v>30</v>
      </c>
      <c r="L26" s="14"/>
      <c r="M26" s="14"/>
      <c r="N26" s="2"/>
      <c r="O26" s="4" t="str">
        <f>IFERROR(VLOOKUP(P26,#REF!,2,0),"")</f>
        <v/>
      </c>
      <c r="P26" s="5"/>
      <c r="Q26" s="4" t="str">
        <f>+IFERROR(VLOOKUP(R26,#REF!,2,0),"")</f>
        <v/>
      </c>
      <c r="R26" s="5"/>
      <c r="S26" s="4" t="str">
        <f>+IFERROR(VLOOKUP(T26,#REF!,2,0),"")</f>
        <v/>
      </c>
      <c r="T26" s="5"/>
      <c r="U26" s="6" t="str">
        <f>IFERROR((VLOOKUP(P26,#REF!,2,0)*VLOOKUP(R26,#REF!,2,0)*VLOOKUP(T26,#REF!,2,0)),"")</f>
        <v/>
      </c>
    </row>
    <row r="27" spans="1:21" ht="90" x14ac:dyDescent="0.25">
      <c r="A27" s="14"/>
      <c r="B27" s="2" t="s">
        <v>115</v>
      </c>
      <c r="C27" s="2" t="s">
        <v>37</v>
      </c>
      <c r="D27" s="2" t="s">
        <v>127</v>
      </c>
      <c r="E27" s="4">
        <f>IFERROR(+VLOOKUP(F27,Indexes!$A$2:$B$8,2,0),"")</f>
        <v>5</v>
      </c>
      <c r="F27" s="11" t="s">
        <v>49</v>
      </c>
      <c r="G27" s="4">
        <f>+IFERROR(VLOOKUP(H27,Indexes!$C$2:$D$8,2,0),"")</f>
        <v>4</v>
      </c>
      <c r="H27" s="11" t="s">
        <v>57</v>
      </c>
      <c r="I27" s="4">
        <f>+IFERROR(VLOOKUP(J27,Indexes!$E$2:$F$8,2,0),"")</f>
        <v>6</v>
      </c>
      <c r="J27" s="11" t="s">
        <v>62</v>
      </c>
      <c r="K27" s="6">
        <f t="shared" si="0"/>
        <v>120</v>
      </c>
      <c r="L27" s="2" t="s">
        <v>78</v>
      </c>
      <c r="M27" s="2" t="s">
        <v>151</v>
      </c>
      <c r="N27" s="2"/>
      <c r="O27" s="4" t="str">
        <f>IFERROR(VLOOKUP(P27,#REF!,2,0),"")</f>
        <v/>
      </c>
      <c r="P27" s="5"/>
      <c r="Q27" s="4" t="str">
        <f>+IFERROR(VLOOKUP(R27,#REF!,2,0),"")</f>
        <v/>
      </c>
      <c r="R27" s="5"/>
      <c r="S27" s="4" t="str">
        <f>+IFERROR(VLOOKUP(T27,#REF!,2,0),"")</f>
        <v/>
      </c>
      <c r="T27" s="5"/>
      <c r="U27" s="6" t="str">
        <f>IFERROR((VLOOKUP(P27,#REF!,2,0)*VLOOKUP(R27,#REF!,2,0)*VLOOKUP(T27,#REF!,2,0)),"")</f>
        <v/>
      </c>
    </row>
    <row r="28" spans="1:21" ht="30" x14ac:dyDescent="0.25">
      <c r="A28" s="2" t="s">
        <v>11</v>
      </c>
      <c r="B28" s="2" t="s">
        <v>116</v>
      </c>
      <c r="C28" s="2" t="s">
        <v>38</v>
      </c>
      <c r="D28" s="2" t="s">
        <v>128</v>
      </c>
      <c r="E28" s="4">
        <f>IFERROR(+VLOOKUP(F28,Indexes!$A$2:$B$8,2,0),"")</f>
        <v>2</v>
      </c>
      <c r="F28" s="11" t="s">
        <v>52</v>
      </c>
      <c r="G28" s="4">
        <f>+IFERROR(VLOOKUP(H28,Indexes!$C$2:$D$8,2,0),"")</f>
        <v>1</v>
      </c>
      <c r="H28" s="11" t="s">
        <v>60</v>
      </c>
      <c r="I28" s="4">
        <f>+IFERROR(VLOOKUP(J28,Indexes!$E$2:$F$8,2,0),"")</f>
        <v>2</v>
      </c>
      <c r="J28" s="11" t="s">
        <v>55</v>
      </c>
      <c r="K28" s="6">
        <f t="shared" si="0"/>
        <v>4</v>
      </c>
      <c r="L28" s="2" t="s">
        <v>77</v>
      </c>
      <c r="M28" s="2" t="s">
        <v>152</v>
      </c>
      <c r="N28" s="2"/>
      <c r="O28" s="4" t="str">
        <f>IFERROR(VLOOKUP(P28,#REF!,2,0),"")</f>
        <v/>
      </c>
      <c r="P28" s="5"/>
      <c r="Q28" s="4" t="str">
        <f>+IFERROR(VLOOKUP(R28,#REF!,2,0),"")</f>
        <v/>
      </c>
      <c r="R28" s="5"/>
      <c r="S28" s="4" t="str">
        <f>+IFERROR(VLOOKUP(T28,#REF!,2,0),"")</f>
        <v/>
      </c>
      <c r="T28" s="5"/>
      <c r="U28" s="6" t="str">
        <f>IFERROR((VLOOKUP(P28,#REF!,2,0)*VLOOKUP(R28,#REF!,2,0)*VLOOKUP(T28,#REF!,2,0)),"")</f>
        <v/>
      </c>
    </row>
    <row r="29" spans="1:21" ht="30" x14ac:dyDescent="0.25">
      <c r="A29" s="2" t="s">
        <v>12</v>
      </c>
      <c r="B29" s="2" t="s">
        <v>116</v>
      </c>
      <c r="C29" s="2" t="s">
        <v>38</v>
      </c>
      <c r="D29" s="2" t="s">
        <v>129</v>
      </c>
      <c r="E29" s="4">
        <f>IFERROR(+VLOOKUP(F29,Indexes!$A$2:$B$8,2,0),"")</f>
        <v>2</v>
      </c>
      <c r="F29" s="11" t="s">
        <v>52</v>
      </c>
      <c r="G29" s="4">
        <f>+IFERROR(VLOOKUP(H29,Indexes!$C$2:$D$8,2,0),"")</f>
        <v>1</v>
      </c>
      <c r="H29" s="11" t="s">
        <v>60</v>
      </c>
      <c r="I29" s="4">
        <f>+IFERROR(VLOOKUP(J29,Indexes!$E$2:$F$8,2,0),"")</f>
        <v>2</v>
      </c>
      <c r="J29" s="11" t="s">
        <v>55</v>
      </c>
      <c r="K29" s="6">
        <f t="shared" si="0"/>
        <v>4</v>
      </c>
      <c r="L29" s="2" t="s">
        <v>76</v>
      </c>
      <c r="M29" s="2" t="s">
        <v>152</v>
      </c>
      <c r="N29" s="2"/>
      <c r="O29" s="4" t="str">
        <f>IFERROR(VLOOKUP(P29,#REF!,2,0),"")</f>
        <v/>
      </c>
      <c r="P29" s="5"/>
      <c r="Q29" s="4" t="str">
        <f>+IFERROR(VLOOKUP(R29,#REF!,2,0),"")</f>
        <v/>
      </c>
      <c r="R29" s="5"/>
      <c r="S29" s="4" t="str">
        <f>+IFERROR(VLOOKUP(T29,#REF!,2,0),"")</f>
        <v/>
      </c>
      <c r="T29" s="5"/>
      <c r="U29" s="6" t="str">
        <f>IFERROR((VLOOKUP(P29,#REF!,2,0)*VLOOKUP(R29,#REF!,2,0)*VLOOKUP(T29,#REF!,2,0)),"")</f>
        <v/>
      </c>
    </row>
    <row r="30" spans="1:21" ht="30" x14ac:dyDescent="0.25">
      <c r="A30" s="13" t="s">
        <v>13</v>
      </c>
      <c r="B30" s="2" t="s">
        <v>27</v>
      </c>
      <c r="C30" s="2" t="s">
        <v>39</v>
      </c>
      <c r="D30" s="2" t="s">
        <v>130</v>
      </c>
      <c r="E30" s="4">
        <f>IFERROR(+VLOOKUP(F30,Indexes!$A$2:$B$8,2,0),"")</f>
        <v>4</v>
      </c>
      <c r="F30" s="11" t="s">
        <v>50</v>
      </c>
      <c r="G30" s="4">
        <f>+IFERROR(VLOOKUP(H30,Indexes!$C$2:$D$8,2,0),"")</f>
        <v>3</v>
      </c>
      <c r="H30" s="11" t="s">
        <v>58</v>
      </c>
      <c r="I30" s="4">
        <f>+IFERROR(VLOOKUP(J30,Indexes!$E$2:$F$8,2,0),"")</f>
        <v>2</v>
      </c>
      <c r="J30" s="11" t="s">
        <v>55</v>
      </c>
      <c r="K30" s="6">
        <f t="shared" si="0"/>
        <v>24</v>
      </c>
      <c r="L30" s="13" t="s">
        <v>75</v>
      </c>
      <c r="M30" s="13" t="s">
        <v>153</v>
      </c>
      <c r="N30" s="2"/>
      <c r="O30" s="4" t="str">
        <f>IFERROR(VLOOKUP(P30,#REF!,2,0),"")</f>
        <v/>
      </c>
      <c r="P30" s="5"/>
      <c r="Q30" s="4" t="str">
        <f>+IFERROR(VLOOKUP(R30,#REF!,2,0),"")</f>
        <v/>
      </c>
      <c r="R30" s="5"/>
      <c r="S30" s="4" t="str">
        <f>+IFERROR(VLOOKUP(T30,#REF!,2,0),"")</f>
        <v/>
      </c>
      <c r="T30" s="5"/>
      <c r="U30" s="6" t="str">
        <f>IFERROR((VLOOKUP(P30,#REF!,2,0)*VLOOKUP(R30,#REF!,2,0)*VLOOKUP(T30,#REF!,2,0)),"")</f>
        <v/>
      </c>
    </row>
    <row r="31" spans="1:21" ht="30" x14ac:dyDescent="0.25">
      <c r="A31" s="14"/>
      <c r="B31" s="2" t="s">
        <v>117</v>
      </c>
      <c r="C31" s="2" t="s">
        <v>40</v>
      </c>
      <c r="D31" s="2" t="s">
        <v>131</v>
      </c>
      <c r="E31" s="4">
        <f>IFERROR(+VLOOKUP(F31,Indexes!$A$2:$B$8,2,0),"")</f>
        <v>3</v>
      </c>
      <c r="F31" s="11" t="s">
        <v>51</v>
      </c>
      <c r="G31" s="4">
        <f>+IFERROR(VLOOKUP(H31,Indexes!$C$2:$D$8,2,0),"")</f>
        <v>2</v>
      </c>
      <c r="H31" s="11" t="s">
        <v>59</v>
      </c>
      <c r="I31" s="4">
        <f>+IFERROR(VLOOKUP(J31,Indexes!$E$2:$F$8,2,0),"")</f>
        <v>3</v>
      </c>
      <c r="J31" s="11" t="s">
        <v>64</v>
      </c>
      <c r="K31" s="6">
        <f t="shared" si="0"/>
        <v>18</v>
      </c>
      <c r="L31" s="14"/>
      <c r="M31" s="14"/>
      <c r="N31" s="2"/>
      <c r="O31" s="4" t="str">
        <f>IFERROR(VLOOKUP(P31,#REF!,2,0),"")</f>
        <v/>
      </c>
      <c r="P31" s="5"/>
      <c r="Q31" s="4" t="str">
        <f>+IFERROR(VLOOKUP(R31,#REF!,2,0),"")</f>
        <v/>
      </c>
      <c r="R31" s="5"/>
      <c r="S31" s="4" t="str">
        <f>+IFERROR(VLOOKUP(T31,#REF!,2,0),"")</f>
        <v/>
      </c>
      <c r="T31" s="5"/>
      <c r="U31" s="6" t="str">
        <f>IFERROR((VLOOKUP(P31,#REF!,2,0)*VLOOKUP(R31,#REF!,2,0)*VLOOKUP(T31,#REF!,2,0)),"")</f>
        <v/>
      </c>
    </row>
    <row r="32" spans="1:21" ht="30" x14ac:dyDescent="0.25">
      <c r="A32" s="13" t="s">
        <v>14</v>
      </c>
      <c r="B32" s="13" t="s">
        <v>118</v>
      </c>
      <c r="C32" s="2" t="s">
        <v>41</v>
      </c>
      <c r="D32" s="2" t="s">
        <v>132</v>
      </c>
      <c r="E32" s="4">
        <f>IFERROR(+VLOOKUP(F32,Indexes!$A$2:$B$8,2,0),"")</f>
        <v>4</v>
      </c>
      <c r="F32" s="11" t="s">
        <v>50</v>
      </c>
      <c r="G32" s="4">
        <f>+IFERROR(VLOOKUP(H32,Indexes!$C$2:$D$8,2,0),"")</f>
        <v>2</v>
      </c>
      <c r="H32" s="11" t="s">
        <v>59</v>
      </c>
      <c r="I32" s="4">
        <f>+IFERROR(VLOOKUP(J32,Indexes!$E$2:$F$8,2,0),"")</f>
        <v>4</v>
      </c>
      <c r="J32" s="11" t="s">
        <v>57</v>
      </c>
      <c r="K32" s="6">
        <f t="shared" si="0"/>
        <v>32</v>
      </c>
      <c r="L32" s="13" t="s">
        <v>74</v>
      </c>
      <c r="M32" s="13" t="s">
        <v>154</v>
      </c>
      <c r="N32" s="2"/>
      <c r="O32" s="4" t="str">
        <f>IFERROR(VLOOKUP(P32,#REF!,2,0),"")</f>
        <v/>
      </c>
      <c r="P32" s="5"/>
      <c r="Q32" s="4" t="str">
        <f>+IFERROR(VLOOKUP(R32,#REF!,2,0),"")</f>
        <v/>
      </c>
      <c r="R32" s="5"/>
      <c r="S32" s="4" t="str">
        <f>+IFERROR(VLOOKUP(T32,#REF!,2,0),"")</f>
        <v/>
      </c>
      <c r="T32" s="5"/>
      <c r="U32" s="6" t="str">
        <f>IFERROR((VLOOKUP(P32,#REF!,2,0)*VLOOKUP(R32,#REF!,2,0)*VLOOKUP(T32,#REF!,2,0)),"")</f>
        <v/>
      </c>
    </row>
    <row r="33" spans="1:21" ht="30" x14ac:dyDescent="0.25">
      <c r="A33" s="15"/>
      <c r="B33" s="15"/>
      <c r="C33" s="2" t="s">
        <v>42</v>
      </c>
      <c r="D33" s="2" t="s">
        <v>133</v>
      </c>
      <c r="E33" s="4">
        <f>IFERROR(+VLOOKUP(F33,Indexes!$A$2:$B$8,2,0),"")</f>
        <v>3</v>
      </c>
      <c r="F33" s="11" t="s">
        <v>51</v>
      </c>
      <c r="G33" s="4">
        <f>+IFERROR(VLOOKUP(H33,Indexes!$C$2:$D$8,2,0),"")</f>
        <v>2</v>
      </c>
      <c r="H33" s="11" t="s">
        <v>59</v>
      </c>
      <c r="I33" s="4">
        <f>+IFERROR(VLOOKUP(J33,Indexes!$E$2:$F$8,2,0),"")</f>
        <v>5</v>
      </c>
      <c r="J33" s="11" t="s">
        <v>63</v>
      </c>
      <c r="K33" s="6">
        <f t="shared" si="0"/>
        <v>30</v>
      </c>
      <c r="L33" s="15"/>
      <c r="M33" s="15"/>
      <c r="N33" s="2"/>
      <c r="O33" s="4" t="str">
        <f>IFERROR(VLOOKUP(P33,#REF!,2,0),"")</f>
        <v/>
      </c>
      <c r="P33" s="5"/>
      <c r="Q33" s="4" t="str">
        <f>+IFERROR(VLOOKUP(R33,#REF!,2,0),"")</f>
        <v/>
      </c>
      <c r="R33" s="5"/>
      <c r="S33" s="4" t="str">
        <f>+IFERROR(VLOOKUP(T33,#REF!,2,0),"")</f>
        <v/>
      </c>
      <c r="T33" s="5"/>
      <c r="U33" s="6" t="str">
        <f>IFERROR((VLOOKUP(P33,#REF!,2,0)*VLOOKUP(R33,#REF!,2,0)*VLOOKUP(T33,#REF!,2,0)),"")</f>
        <v/>
      </c>
    </row>
    <row r="34" spans="1:21" ht="15" x14ac:dyDescent="0.25">
      <c r="A34" s="15"/>
      <c r="B34" s="15"/>
      <c r="C34" s="2" t="s">
        <v>43</v>
      </c>
      <c r="D34" s="2" t="s">
        <v>134</v>
      </c>
      <c r="E34" s="4">
        <f>IFERROR(+VLOOKUP(F34,Indexes!$A$2:$B$8,2,0),"")</f>
        <v>4</v>
      </c>
      <c r="F34" s="11" t="s">
        <v>50</v>
      </c>
      <c r="G34" s="4">
        <f>+IFERROR(VLOOKUP(H34,Indexes!$C$2:$D$8,2,0),"")</f>
        <v>3</v>
      </c>
      <c r="H34" s="11" t="s">
        <v>58</v>
      </c>
      <c r="I34" s="4">
        <f>+IFERROR(VLOOKUP(J34,Indexes!$E$2:$F$8,2,0),"")</f>
        <v>6</v>
      </c>
      <c r="J34" s="11" t="s">
        <v>62</v>
      </c>
      <c r="K34" s="6">
        <f t="shared" si="0"/>
        <v>72</v>
      </c>
      <c r="L34" s="15"/>
      <c r="M34" s="15"/>
      <c r="N34" s="2"/>
      <c r="O34" s="4" t="str">
        <f>IFERROR(VLOOKUP(P34,#REF!,2,0),"")</f>
        <v/>
      </c>
      <c r="P34" s="5"/>
      <c r="Q34" s="4" t="str">
        <f>+IFERROR(VLOOKUP(R34,#REF!,2,0),"")</f>
        <v/>
      </c>
      <c r="R34" s="5"/>
      <c r="S34" s="4" t="str">
        <f>+IFERROR(VLOOKUP(T34,#REF!,2,0),"")</f>
        <v/>
      </c>
      <c r="T34" s="5"/>
      <c r="U34" s="6" t="str">
        <f>IFERROR((VLOOKUP(P34,#REF!,2,0)*VLOOKUP(R34,#REF!,2,0)*VLOOKUP(T34,#REF!,2,0)),"")</f>
        <v/>
      </c>
    </row>
    <row r="35" spans="1:21" ht="30" x14ac:dyDescent="0.25">
      <c r="A35" s="14"/>
      <c r="B35" s="14"/>
      <c r="C35" s="2" t="s">
        <v>44</v>
      </c>
      <c r="D35" s="2" t="s">
        <v>135</v>
      </c>
      <c r="E35" s="4">
        <f>IFERROR(+VLOOKUP(F35,Indexes!$A$2:$B$8,2,0),"")</f>
        <v>5</v>
      </c>
      <c r="F35" s="11" t="s">
        <v>49</v>
      </c>
      <c r="G35" s="4">
        <f>+IFERROR(VLOOKUP(H35,Indexes!$C$2:$D$8,2,0),"")</f>
        <v>3</v>
      </c>
      <c r="H35" s="11" t="s">
        <v>58</v>
      </c>
      <c r="I35" s="4">
        <f>+IFERROR(VLOOKUP(J35,Indexes!$E$2:$F$8,2,0),"")</f>
        <v>7</v>
      </c>
      <c r="J35" s="11" t="s">
        <v>61</v>
      </c>
      <c r="K35" s="6">
        <f t="shared" si="0"/>
        <v>105</v>
      </c>
      <c r="L35" s="14"/>
      <c r="M35" s="14"/>
      <c r="N35" s="2"/>
      <c r="O35" s="4" t="str">
        <f>IFERROR(VLOOKUP(P35,#REF!,2,0),"")</f>
        <v/>
      </c>
      <c r="P35" s="5"/>
      <c r="Q35" s="4" t="str">
        <f>+IFERROR(VLOOKUP(R35,#REF!,2,0),"")</f>
        <v/>
      </c>
      <c r="R35" s="5"/>
      <c r="S35" s="4" t="str">
        <f>+IFERROR(VLOOKUP(T35,#REF!,2,0),"")</f>
        <v/>
      </c>
      <c r="T35" s="5"/>
      <c r="U35" s="6" t="str">
        <f>IFERROR((VLOOKUP(P35,#REF!,2,0)*VLOOKUP(R35,#REF!,2,0)*VLOOKUP(T35,#REF!,2,0)),"")</f>
        <v/>
      </c>
    </row>
    <row r="36" spans="1:21" ht="30" x14ac:dyDescent="0.25">
      <c r="A36" s="13" t="s">
        <v>15</v>
      </c>
      <c r="B36" s="13" t="s">
        <v>27</v>
      </c>
      <c r="C36" s="2" t="s">
        <v>42</v>
      </c>
      <c r="D36" s="2" t="s">
        <v>136</v>
      </c>
      <c r="E36" s="4">
        <f>IFERROR(+VLOOKUP(F36,Indexes!$A$2:$B$8,2,0),"")</f>
        <v>5</v>
      </c>
      <c r="F36" s="11" t="s">
        <v>49</v>
      </c>
      <c r="G36" s="4">
        <f>+IFERROR(VLOOKUP(H36,Indexes!$C$2:$D$8,2,0),"")</f>
        <v>3</v>
      </c>
      <c r="H36" s="11" t="s">
        <v>58</v>
      </c>
      <c r="I36" s="4">
        <f>+IFERROR(VLOOKUP(J36,Indexes!$E$2:$F$8,2,0),"")</f>
        <v>7</v>
      </c>
      <c r="J36" s="11" t="s">
        <v>61</v>
      </c>
      <c r="K36" s="6">
        <f t="shared" si="0"/>
        <v>105</v>
      </c>
      <c r="L36" s="13" t="s">
        <v>73</v>
      </c>
      <c r="M36" s="13" t="s">
        <v>155</v>
      </c>
      <c r="N36" s="2"/>
      <c r="O36" s="4" t="str">
        <f>IFERROR(VLOOKUP(P36,#REF!,2,0),"")</f>
        <v/>
      </c>
      <c r="P36" s="5"/>
      <c r="Q36" s="4" t="str">
        <f>+IFERROR(VLOOKUP(R36,#REF!,2,0),"")</f>
        <v/>
      </c>
      <c r="R36" s="5"/>
      <c r="S36" s="4" t="str">
        <f>+IFERROR(VLOOKUP(T36,#REF!,2,0),"")</f>
        <v/>
      </c>
      <c r="T36" s="5"/>
      <c r="U36" s="6" t="str">
        <f>IFERROR((VLOOKUP(P36,#REF!,2,0)*VLOOKUP(R36,#REF!,2,0)*VLOOKUP(T36,#REF!,2,0)),"")</f>
        <v/>
      </c>
    </row>
    <row r="37" spans="1:21" ht="30" x14ac:dyDescent="0.25">
      <c r="A37" s="15"/>
      <c r="B37" s="15"/>
      <c r="C37" s="2" t="s">
        <v>45</v>
      </c>
      <c r="D37" s="2" t="s">
        <v>136</v>
      </c>
      <c r="E37" s="4">
        <f>IFERROR(+VLOOKUP(F37,Indexes!$A$2:$B$8,2,0),"")</f>
        <v>5</v>
      </c>
      <c r="F37" s="11" t="s">
        <v>49</v>
      </c>
      <c r="G37" s="4">
        <f>+IFERROR(VLOOKUP(H37,Indexes!$C$2:$D$8,2,0),"")</f>
        <v>3</v>
      </c>
      <c r="H37" s="11" t="s">
        <v>58</v>
      </c>
      <c r="I37" s="4">
        <f>+IFERROR(VLOOKUP(J37,Indexes!$E$2:$F$8,2,0),"")</f>
        <v>6</v>
      </c>
      <c r="J37" s="11" t="s">
        <v>62</v>
      </c>
      <c r="K37" s="6">
        <f t="shared" si="0"/>
        <v>90</v>
      </c>
      <c r="L37" s="15"/>
      <c r="M37" s="15"/>
      <c r="N37" s="2"/>
      <c r="O37" s="4" t="str">
        <f>IFERROR(VLOOKUP(P37,#REF!,2,0),"")</f>
        <v/>
      </c>
      <c r="P37" s="5"/>
      <c r="Q37" s="4" t="str">
        <f>+IFERROR(VLOOKUP(R37,#REF!,2,0),"")</f>
        <v/>
      </c>
      <c r="R37" s="5"/>
      <c r="S37" s="4" t="str">
        <f>+IFERROR(VLOOKUP(T37,#REF!,2,0),"")</f>
        <v/>
      </c>
      <c r="T37" s="5"/>
      <c r="U37" s="6" t="str">
        <f>IFERROR((VLOOKUP(P37,#REF!,2,0)*VLOOKUP(R37,#REF!,2,0)*VLOOKUP(T37,#REF!,2,0)),"")</f>
        <v/>
      </c>
    </row>
    <row r="38" spans="1:21" ht="15" x14ac:dyDescent="0.25">
      <c r="A38" s="14"/>
      <c r="B38" s="14"/>
      <c r="C38" s="2" t="s">
        <v>46</v>
      </c>
      <c r="D38" s="2" t="s">
        <v>136</v>
      </c>
      <c r="E38" s="4">
        <f>IFERROR(+VLOOKUP(F38,Indexes!$A$2:$B$8,2,0),"")</f>
        <v>6</v>
      </c>
      <c r="F38" s="11" t="s">
        <v>48</v>
      </c>
      <c r="G38" s="4">
        <f>+IFERROR(VLOOKUP(H38,Indexes!$C$2:$D$8,2,0),"")</f>
        <v>3</v>
      </c>
      <c r="H38" s="11" t="s">
        <v>58</v>
      </c>
      <c r="I38" s="4">
        <f>+IFERROR(VLOOKUP(J38,Indexes!$E$2:$F$8,2,0),"")</f>
        <v>6</v>
      </c>
      <c r="J38" s="11" t="s">
        <v>62</v>
      </c>
      <c r="K38" s="6">
        <f t="shared" si="0"/>
        <v>108</v>
      </c>
      <c r="L38" s="14"/>
      <c r="M38" s="14"/>
      <c r="N38" s="2"/>
      <c r="O38" s="4" t="str">
        <f>IFERROR(VLOOKUP(P38,#REF!,2,0),"")</f>
        <v/>
      </c>
      <c r="P38" s="5"/>
      <c r="Q38" s="4" t="str">
        <f>+IFERROR(VLOOKUP(R38,#REF!,2,0),"")</f>
        <v/>
      </c>
      <c r="R38" s="5"/>
      <c r="S38" s="4" t="str">
        <f>+IFERROR(VLOOKUP(T38,#REF!,2,0),"")</f>
        <v/>
      </c>
      <c r="T38" s="5"/>
      <c r="U38" s="6" t="str">
        <f>IFERROR((VLOOKUP(P38,#REF!,2,0)*VLOOKUP(R38,#REF!,2,0)*VLOOKUP(T38,#REF!,2,0)),"")</f>
        <v/>
      </c>
    </row>
    <row r="39" spans="1:21" ht="15" x14ac:dyDescent="0.25">
      <c r="A39" s="13" t="s">
        <v>16</v>
      </c>
      <c r="B39" s="13" t="s">
        <v>27</v>
      </c>
      <c r="C39" s="2" t="s">
        <v>39</v>
      </c>
      <c r="D39" s="2" t="s">
        <v>136</v>
      </c>
      <c r="E39" s="4">
        <f>IFERROR(+VLOOKUP(F39,Indexes!$A$2:$B$8,2,0),"")</f>
        <v>2</v>
      </c>
      <c r="F39" s="11" t="s">
        <v>52</v>
      </c>
      <c r="G39" s="4">
        <f>+IFERROR(VLOOKUP(H39,Indexes!$C$2:$D$8,2,0),"")</f>
        <v>3</v>
      </c>
      <c r="H39" s="11" t="s">
        <v>58</v>
      </c>
      <c r="I39" s="4">
        <f>+IFERROR(VLOOKUP(J39,Indexes!$E$2:$F$8,2,0),"")</f>
        <v>2</v>
      </c>
      <c r="J39" s="11" t="s">
        <v>55</v>
      </c>
      <c r="K39" s="6">
        <f t="shared" si="0"/>
        <v>12</v>
      </c>
      <c r="L39" s="13" t="s">
        <v>72</v>
      </c>
      <c r="M39" s="13" t="s">
        <v>155</v>
      </c>
      <c r="N39" s="2"/>
      <c r="O39" s="4" t="str">
        <f>IFERROR(VLOOKUP(P39,#REF!,2,0),"")</f>
        <v/>
      </c>
      <c r="P39" s="5"/>
      <c r="Q39" s="4" t="str">
        <f>+IFERROR(VLOOKUP(R39,#REF!,2,0),"")</f>
        <v/>
      </c>
      <c r="R39" s="5"/>
      <c r="S39" s="4" t="str">
        <f>+IFERROR(VLOOKUP(T39,#REF!,2,0),"")</f>
        <v/>
      </c>
      <c r="T39" s="5"/>
      <c r="U39" s="6" t="str">
        <f>IFERROR((VLOOKUP(P39,#REF!,2,0)*VLOOKUP(R39,#REF!,2,0)*VLOOKUP(T39,#REF!,2,0)),"")</f>
        <v/>
      </c>
    </row>
    <row r="40" spans="1:21" ht="30" x14ac:dyDescent="0.25">
      <c r="A40" s="14"/>
      <c r="B40" s="14"/>
      <c r="C40" s="2" t="s">
        <v>45</v>
      </c>
      <c r="D40" s="2" t="s">
        <v>136</v>
      </c>
      <c r="E40" s="4">
        <f>IFERROR(+VLOOKUP(F40,Indexes!$A$2:$B$8,2,0),"")</f>
        <v>2</v>
      </c>
      <c r="F40" s="11" t="s">
        <v>52</v>
      </c>
      <c r="G40" s="4">
        <f>+IFERROR(VLOOKUP(H40,Indexes!$C$2:$D$8,2,0),"")</f>
        <v>4</v>
      </c>
      <c r="H40" s="11" t="s">
        <v>57</v>
      </c>
      <c r="I40" s="4">
        <f>+IFERROR(VLOOKUP(J40,Indexes!$E$2:$F$8,2,0),"")</f>
        <v>2</v>
      </c>
      <c r="J40" s="11" t="s">
        <v>55</v>
      </c>
      <c r="K40" s="6">
        <f t="shared" si="0"/>
        <v>16</v>
      </c>
      <c r="L40" s="14"/>
      <c r="M40" s="14"/>
      <c r="N40" s="2"/>
      <c r="O40" s="4" t="str">
        <f>IFERROR(VLOOKUP(P40,#REF!,2,0),"")</f>
        <v/>
      </c>
      <c r="P40" s="5"/>
      <c r="Q40" s="4" t="str">
        <f>+IFERROR(VLOOKUP(R40,#REF!,2,0),"")</f>
        <v/>
      </c>
      <c r="R40" s="5"/>
      <c r="S40" s="4" t="str">
        <f>+IFERROR(VLOOKUP(T40,#REF!,2,0),"")</f>
        <v/>
      </c>
      <c r="T40" s="5"/>
      <c r="U40" s="6" t="str">
        <f>IFERROR((VLOOKUP(P40,#REF!,2,0)*VLOOKUP(R40,#REF!,2,0)*VLOOKUP(T40,#REF!,2,0)),"")</f>
        <v/>
      </c>
    </row>
    <row r="41" spans="1:21" ht="15" x14ac:dyDescent="0.25">
      <c r="A41" s="13" t="s">
        <v>17</v>
      </c>
      <c r="B41" s="13" t="s">
        <v>27</v>
      </c>
      <c r="C41" s="2" t="s">
        <v>39</v>
      </c>
      <c r="D41" s="2" t="s">
        <v>137</v>
      </c>
      <c r="E41" s="4">
        <f>IFERROR(+VLOOKUP(F41,Indexes!$A$2:$B$8,2,0),"")</f>
        <v>3</v>
      </c>
      <c r="F41" s="11" t="s">
        <v>51</v>
      </c>
      <c r="G41" s="4">
        <f>+IFERROR(VLOOKUP(H41,Indexes!$C$2:$D$8,2,0),"")</f>
        <v>3</v>
      </c>
      <c r="H41" s="11" t="s">
        <v>58</v>
      </c>
      <c r="I41" s="4">
        <f>+IFERROR(VLOOKUP(J41,Indexes!$E$2:$F$8,2,0),"")</f>
        <v>5</v>
      </c>
      <c r="J41" s="11" t="s">
        <v>63</v>
      </c>
      <c r="K41" s="6">
        <f t="shared" si="0"/>
        <v>45</v>
      </c>
      <c r="L41" s="13" t="s">
        <v>71</v>
      </c>
      <c r="M41" s="13" t="s">
        <v>155</v>
      </c>
      <c r="N41" s="2"/>
      <c r="O41" s="4" t="str">
        <f>IFERROR(VLOOKUP(P41,#REF!,2,0),"")</f>
        <v/>
      </c>
      <c r="P41" s="5"/>
      <c r="Q41" s="4" t="str">
        <f>+IFERROR(VLOOKUP(R41,#REF!,2,0),"")</f>
        <v/>
      </c>
      <c r="R41" s="5"/>
      <c r="S41" s="4" t="str">
        <f>+IFERROR(VLOOKUP(T41,#REF!,2,0),"")</f>
        <v/>
      </c>
      <c r="T41" s="5"/>
      <c r="U41" s="6" t="str">
        <f>IFERROR((VLOOKUP(P41,#REF!,2,0)*VLOOKUP(R41,#REF!,2,0)*VLOOKUP(T41,#REF!,2,0)),"")</f>
        <v/>
      </c>
    </row>
    <row r="42" spans="1:21" ht="30" x14ac:dyDescent="0.25">
      <c r="A42" s="14"/>
      <c r="B42" s="14"/>
      <c r="C42" s="2" t="s">
        <v>45</v>
      </c>
      <c r="D42" s="2" t="s">
        <v>137</v>
      </c>
      <c r="E42" s="4">
        <f>IFERROR(+VLOOKUP(F42,Indexes!$A$2:$B$8,2,0),"")</f>
        <v>3</v>
      </c>
      <c r="F42" s="11" t="s">
        <v>51</v>
      </c>
      <c r="G42" s="4">
        <f>+IFERROR(VLOOKUP(H42,Indexes!$C$2:$D$8,2,0),"")</f>
        <v>3</v>
      </c>
      <c r="H42" s="11" t="s">
        <v>58</v>
      </c>
      <c r="I42" s="4">
        <f>+IFERROR(VLOOKUP(J42,Indexes!$E$2:$F$8,2,0),"")</f>
        <v>5</v>
      </c>
      <c r="J42" s="11" t="s">
        <v>63</v>
      </c>
      <c r="K42" s="6">
        <f t="shared" si="0"/>
        <v>45</v>
      </c>
      <c r="L42" s="14"/>
      <c r="M42" s="14"/>
      <c r="N42" s="2"/>
      <c r="O42" s="4" t="str">
        <f>IFERROR(VLOOKUP(P42,#REF!,2,0),"")</f>
        <v/>
      </c>
      <c r="P42" s="5"/>
      <c r="Q42" s="4" t="str">
        <f>+IFERROR(VLOOKUP(R42,#REF!,2,0),"")</f>
        <v/>
      </c>
      <c r="R42" s="5"/>
      <c r="S42" s="4" t="str">
        <f>+IFERROR(VLOOKUP(T42,#REF!,2,0),"")</f>
        <v/>
      </c>
      <c r="T42" s="5"/>
      <c r="U42" s="6" t="str">
        <f>IFERROR((VLOOKUP(P42,#REF!,2,0)*VLOOKUP(R42,#REF!,2,0)*VLOOKUP(T42,#REF!,2,0)),"")</f>
        <v/>
      </c>
    </row>
    <row r="43" spans="1:21" ht="45" x14ac:dyDescent="0.25">
      <c r="A43" s="13" t="s">
        <v>18</v>
      </c>
      <c r="B43" s="2" t="s">
        <v>27</v>
      </c>
      <c r="C43" s="2" t="s">
        <v>39</v>
      </c>
      <c r="D43" s="2" t="s">
        <v>138</v>
      </c>
      <c r="E43" s="4">
        <f>IFERROR(+VLOOKUP(F43,Indexes!$A$2:$B$8,2,0),"")</f>
        <v>5</v>
      </c>
      <c r="F43" s="11" t="s">
        <v>49</v>
      </c>
      <c r="G43" s="4">
        <f>+IFERROR(VLOOKUP(H43,Indexes!$C$2:$D$8,2,0),"")</f>
        <v>2</v>
      </c>
      <c r="H43" s="11" t="s">
        <v>59</v>
      </c>
      <c r="I43" s="4">
        <f>+IFERROR(VLOOKUP(J43,Indexes!$E$2:$F$8,2,0),"")</f>
        <v>3</v>
      </c>
      <c r="J43" s="11" t="s">
        <v>64</v>
      </c>
      <c r="K43" s="6">
        <f t="shared" si="0"/>
        <v>30</v>
      </c>
      <c r="L43" s="2" t="s">
        <v>70</v>
      </c>
      <c r="M43" s="2" t="s">
        <v>156</v>
      </c>
      <c r="N43" s="2"/>
      <c r="O43" s="4" t="str">
        <f>IFERROR(VLOOKUP(P43,#REF!,2,0),"")</f>
        <v/>
      </c>
      <c r="P43" s="5"/>
      <c r="Q43" s="4" t="str">
        <f>+IFERROR(VLOOKUP(R43,#REF!,2,0),"")</f>
        <v/>
      </c>
      <c r="R43" s="5"/>
      <c r="S43" s="4" t="str">
        <f>+IFERROR(VLOOKUP(T43,#REF!,2,0),"")</f>
        <v/>
      </c>
      <c r="T43" s="5"/>
      <c r="U43" s="6" t="str">
        <f>IFERROR((VLOOKUP(P43,#REF!,2,0)*VLOOKUP(R43,#REF!,2,0)*VLOOKUP(T43,#REF!,2,0)),"")</f>
        <v/>
      </c>
    </row>
    <row r="44" spans="1:21" ht="75" x14ac:dyDescent="0.25">
      <c r="A44" s="14"/>
      <c r="B44" s="2" t="s">
        <v>119</v>
      </c>
      <c r="C44" s="2" t="s">
        <v>42</v>
      </c>
      <c r="D44" s="2" t="s">
        <v>139</v>
      </c>
      <c r="E44" s="4">
        <f>IFERROR(+VLOOKUP(F44,Indexes!$A$2:$B$8,2,0),"")</f>
        <v>2</v>
      </c>
      <c r="F44" s="11" t="s">
        <v>52</v>
      </c>
      <c r="G44" s="4">
        <f>+IFERROR(VLOOKUP(H44,Indexes!$C$2:$D$8,2,0),"")</f>
        <v>1</v>
      </c>
      <c r="H44" s="11" t="s">
        <v>60</v>
      </c>
      <c r="I44" s="4">
        <f>+IFERROR(VLOOKUP(J44,Indexes!$E$2:$F$8,2,0),"")</f>
        <v>1</v>
      </c>
      <c r="J44" s="11" t="s">
        <v>54</v>
      </c>
      <c r="K44" s="6">
        <f t="shared" si="0"/>
        <v>2</v>
      </c>
      <c r="L44" s="2" t="s">
        <v>69</v>
      </c>
      <c r="M44" s="2" t="s">
        <v>157</v>
      </c>
      <c r="N44" s="2"/>
      <c r="O44" s="4" t="str">
        <f>IFERROR(VLOOKUP(P44,#REF!,2,0),"")</f>
        <v/>
      </c>
      <c r="P44" s="5"/>
      <c r="Q44" s="4" t="str">
        <f>+IFERROR(VLOOKUP(R44,#REF!,2,0),"")</f>
        <v/>
      </c>
      <c r="R44" s="5"/>
      <c r="S44" s="4" t="str">
        <f>+IFERROR(VLOOKUP(T44,#REF!,2,0),"")</f>
        <v/>
      </c>
      <c r="T44" s="5"/>
      <c r="U44" s="6" t="str">
        <f>IFERROR((VLOOKUP(P44,#REF!,2,0)*VLOOKUP(R44,#REF!,2,0)*VLOOKUP(T44,#REF!,2,0)),"")</f>
        <v/>
      </c>
    </row>
    <row r="45" spans="1:21" ht="60" x14ac:dyDescent="0.25">
      <c r="A45" s="2" t="s">
        <v>19</v>
      </c>
      <c r="B45" s="2" t="s">
        <v>27</v>
      </c>
      <c r="C45" s="2" t="s">
        <v>39</v>
      </c>
      <c r="D45" s="2" t="s">
        <v>140</v>
      </c>
      <c r="E45" s="4">
        <f>IFERROR(+VLOOKUP(F45,Indexes!$A$2:$B$8,2,0),"")</f>
        <v>2</v>
      </c>
      <c r="F45" s="11" t="s">
        <v>52</v>
      </c>
      <c r="G45" s="4">
        <f>+IFERROR(VLOOKUP(H45,Indexes!$C$2:$D$8,2,0),"")</f>
        <v>2</v>
      </c>
      <c r="H45" s="11" t="s">
        <v>59</v>
      </c>
      <c r="I45" s="4">
        <f>+IFERROR(VLOOKUP(J45,Indexes!$E$2:$F$8,2,0),"")</f>
        <v>1</v>
      </c>
      <c r="J45" s="11" t="s">
        <v>54</v>
      </c>
      <c r="K45" s="6">
        <f t="shared" si="0"/>
        <v>4</v>
      </c>
      <c r="L45" s="2" t="s">
        <v>68</v>
      </c>
      <c r="M45" s="2" t="s">
        <v>158</v>
      </c>
      <c r="N45" s="2"/>
      <c r="O45" s="4" t="str">
        <f>IFERROR(VLOOKUP(P45,#REF!,2,0),"")</f>
        <v/>
      </c>
      <c r="P45" s="5"/>
      <c r="Q45" s="4" t="str">
        <f>+IFERROR(VLOOKUP(R45,#REF!,2,0),"")</f>
        <v/>
      </c>
      <c r="R45" s="5"/>
      <c r="S45" s="4" t="str">
        <f>+IFERROR(VLOOKUP(T45,#REF!,2,0),"")</f>
        <v/>
      </c>
      <c r="T45" s="5"/>
      <c r="U45" s="6" t="str">
        <f>IFERROR((VLOOKUP(P45,#REF!,2,0)*VLOOKUP(R45,#REF!,2,0)*VLOOKUP(T45,#REF!,2,0)),"")</f>
        <v/>
      </c>
    </row>
    <row r="46" spans="1:21" ht="45" x14ac:dyDescent="0.25">
      <c r="A46" s="2" t="s">
        <v>20</v>
      </c>
      <c r="B46" s="2" t="s">
        <v>27</v>
      </c>
      <c r="C46" s="2" t="s">
        <v>39</v>
      </c>
      <c r="D46" s="2" t="s">
        <v>141</v>
      </c>
      <c r="E46" s="4">
        <f>IFERROR(+VLOOKUP(F46,Indexes!$A$2:$B$8,2,0),"")</f>
        <v>4</v>
      </c>
      <c r="F46" s="11" t="s">
        <v>50</v>
      </c>
      <c r="G46" s="4">
        <f>+IFERROR(VLOOKUP(H46,Indexes!$C$2:$D$8,2,0),"")</f>
        <v>1</v>
      </c>
      <c r="H46" s="11" t="s">
        <v>60</v>
      </c>
      <c r="I46" s="4">
        <f>+IFERROR(VLOOKUP(J46,Indexes!$E$2:$F$8,2,0),"")</f>
        <v>2</v>
      </c>
      <c r="J46" s="11" t="s">
        <v>55</v>
      </c>
      <c r="K46" s="6">
        <f t="shared" si="0"/>
        <v>8</v>
      </c>
      <c r="L46" s="2" t="s">
        <v>67</v>
      </c>
      <c r="M46" s="2" t="s">
        <v>159</v>
      </c>
      <c r="N46" s="2"/>
      <c r="O46" s="4" t="str">
        <f>IFERROR(VLOOKUP(P46,#REF!,2,0),"")</f>
        <v/>
      </c>
      <c r="P46" s="5"/>
      <c r="Q46" s="4" t="str">
        <f>+IFERROR(VLOOKUP(R46,#REF!,2,0),"")</f>
        <v/>
      </c>
      <c r="R46" s="5"/>
      <c r="S46" s="4" t="str">
        <f>+IFERROR(VLOOKUP(T46,#REF!,2,0),"")</f>
        <v/>
      </c>
      <c r="T46" s="5"/>
      <c r="U46" s="6" t="str">
        <f>IFERROR((VLOOKUP(P46,#REF!,2,0)*VLOOKUP(R46,#REF!,2,0)*VLOOKUP(T46,#REF!,2,0)),"")</f>
        <v/>
      </c>
    </row>
    <row r="47" spans="1:21" ht="90" x14ac:dyDescent="0.25">
      <c r="A47" s="2" t="s">
        <v>21</v>
      </c>
      <c r="B47" s="2" t="s">
        <v>27</v>
      </c>
      <c r="C47" s="2" t="s">
        <v>39</v>
      </c>
      <c r="D47" s="2" t="s">
        <v>142</v>
      </c>
      <c r="E47" s="4">
        <f>IFERROR(+VLOOKUP(F47,Indexes!$A$2:$B$8,2,0),"")</f>
        <v>5</v>
      </c>
      <c r="F47" s="11" t="s">
        <v>49</v>
      </c>
      <c r="G47" s="4">
        <f>+IFERROR(VLOOKUP(H47,Indexes!$C$2:$D$8,2,0),"")</f>
        <v>4</v>
      </c>
      <c r="H47" s="11" t="s">
        <v>57</v>
      </c>
      <c r="I47" s="4">
        <f>+IFERROR(VLOOKUP(J47,Indexes!$E$2:$F$8,2,0),"")</f>
        <v>2</v>
      </c>
      <c r="J47" s="11" t="s">
        <v>55</v>
      </c>
      <c r="K47" s="6">
        <f t="shared" si="0"/>
        <v>40</v>
      </c>
      <c r="L47" s="2" t="s">
        <v>65</v>
      </c>
      <c r="M47" s="2" t="s">
        <v>160</v>
      </c>
      <c r="N47" s="2"/>
      <c r="O47" s="4" t="str">
        <f>IFERROR(VLOOKUP(P47,#REF!,2,0),"")</f>
        <v/>
      </c>
      <c r="P47" s="5"/>
      <c r="Q47" s="4" t="str">
        <f>+IFERROR(VLOOKUP(R47,#REF!,2,0),"")</f>
        <v/>
      </c>
      <c r="R47" s="5"/>
      <c r="S47" s="4" t="str">
        <f>+IFERROR(VLOOKUP(T47,#REF!,2,0),"")</f>
        <v/>
      </c>
      <c r="T47" s="5"/>
      <c r="U47" s="6" t="str">
        <f>IFERROR((VLOOKUP(P47,#REF!,2,0)*VLOOKUP(R47,#REF!,2,0)*VLOOKUP(T47,#REF!,2,0)),"")</f>
        <v/>
      </c>
    </row>
    <row r="48" spans="1:21" ht="90" x14ac:dyDescent="0.25">
      <c r="A48" s="2" t="s">
        <v>22</v>
      </c>
      <c r="B48" s="2" t="s">
        <v>116</v>
      </c>
      <c r="C48" s="2" t="s">
        <v>38</v>
      </c>
      <c r="D48" s="2" t="s">
        <v>143</v>
      </c>
      <c r="E48" s="4">
        <f>IFERROR(+VLOOKUP(F48,Indexes!$A$2:$B$8,2,0),"")</f>
        <v>5</v>
      </c>
      <c r="F48" s="11" t="s">
        <v>49</v>
      </c>
      <c r="G48" s="4">
        <f>+IFERROR(VLOOKUP(H48,Indexes!$C$2:$D$8,2,0),"")</f>
        <v>2</v>
      </c>
      <c r="H48" s="11" t="s">
        <v>59</v>
      </c>
      <c r="I48" s="4">
        <f>+IFERROR(VLOOKUP(J48,Indexes!$E$2:$F$8,2,0),"")</f>
        <v>1</v>
      </c>
      <c r="J48" s="11" t="s">
        <v>54</v>
      </c>
      <c r="K48" s="6">
        <f t="shared" si="0"/>
        <v>10</v>
      </c>
      <c r="L48" s="2" t="s">
        <v>66</v>
      </c>
      <c r="M48" s="2" t="s">
        <v>161</v>
      </c>
      <c r="N48" s="2"/>
      <c r="O48" s="4" t="str">
        <f>IFERROR(VLOOKUP(P48,#REF!,2,0),"")</f>
        <v/>
      </c>
      <c r="P48" s="5"/>
      <c r="Q48" s="4" t="str">
        <f>+IFERROR(VLOOKUP(R48,#REF!,2,0),"")</f>
        <v/>
      </c>
      <c r="R48" s="5"/>
      <c r="S48" s="4" t="str">
        <f>+IFERROR(VLOOKUP(T48,#REF!,2,0),"")</f>
        <v/>
      </c>
      <c r="T48" s="5"/>
      <c r="U48" s="6" t="str">
        <f>IFERROR((VLOOKUP(P48,#REF!,2,0)*VLOOKUP(R48,#REF!,2,0)*VLOOKUP(T48,#REF!,2,0)),"")</f>
        <v/>
      </c>
    </row>
    <row r="49" spans="1:21" ht="30" x14ac:dyDescent="0.25">
      <c r="A49" s="13" t="s">
        <v>23</v>
      </c>
      <c r="B49" s="2" t="s">
        <v>27</v>
      </c>
      <c r="C49" s="2" t="s">
        <v>39</v>
      </c>
      <c r="D49" s="2" t="s">
        <v>144</v>
      </c>
      <c r="E49" s="4">
        <f>IFERROR(+VLOOKUP(F49,Indexes!$A$2:$B$8,2,0),"")</f>
        <v>5</v>
      </c>
      <c r="F49" s="11" t="s">
        <v>49</v>
      </c>
      <c r="G49" s="4">
        <f>+IFERROR(VLOOKUP(H49,Indexes!$C$2:$D$8,2,0),"")</f>
        <v>2</v>
      </c>
      <c r="H49" s="11" t="s">
        <v>59</v>
      </c>
      <c r="I49" s="4">
        <f>+IFERROR(VLOOKUP(J49,Indexes!$E$2:$F$8,2,0),"")</f>
        <v>1</v>
      </c>
      <c r="J49" s="11" t="s">
        <v>54</v>
      </c>
      <c r="K49" s="6">
        <f t="shared" si="0"/>
        <v>10</v>
      </c>
      <c r="L49" s="13" t="s">
        <v>65</v>
      </c>
      <c r="M49" s="13" t="s">
        <v>160</v>
      </c>
      <c r="N49" s="2"/>
      <c r="O49" s="4" t="str">
        <f>IFERROR(VLOOKUP(P49,#REF!,2,0),"")</f>
        <v/>
      </c>
      <c r="P49" s="5"/>
      <c r="Q49" s="4" t="str">
        <f>+IFERROR(VLOOKUP(R49,#REF!,2,0),"")</f>
        <v/>
      </c>
      <c r="R49" s="5"/>
      <c r="S49" s="4" t="str">
        <f>+IFERROR(VLOOKUP(T49,#REF!,2,0),"")</f>
        <v/>
      </c>
      <c r="T49" s="5"/>
      <c r="U49" s="6" t="str">
        <f>IFERROR((VLOOKUP(P49,#REF!,2,0)*VLOOKUP(R49,#REF!,2,0)*VLOOKUP(T49,#REF!,2,0)),"")</f>
        <v/>
      </c>
    </row>
    <row r="50" spans="1:21" ht="30" x14ac:dyDescent="0.25">
      <c r="A50" s="14"/>
      <c r="B50" s="2" t="s">
        <v>116</v>
      </c>
      <c r="C50" s="2" t="s">
        <v>38</v>
      </c>
      <c r="D50" s="2" t="s">
        <v>144</v>
      </c>
      <c r="E50" s="4">
        <f>IFERROR(+VLOOKUP(F50,Indexes!$A$2:$B$8,2,0),"")</f>
        <v>5</v>
      </c>
      <c r="F50" s="11" t="s">
        <v>49</v>
      </c>
      <c r="G50" s="4">
        <f>+IFERROR(VLOOKUP(H50,Indexes!$C$2:$D$8,2,0),"")</f>
        <v>2</v>
      </c>
      <c r="H50" s="11" t="s">
        <v>59</v>
      </c>
      <c r="I50" s="4">
        <f>+IFERROR(VLOOKUP(J50,Indexes!$E$2:$F$8,2,0),"")</f>
        <v>2</v>
      </c>
      <c r="J50" s="11" t="s">
        <v>55</v>
      </c>
      <c r="K50" s="6">
        <f t="shared" si="0"/>
        <v>20</v>
      </c>
      <c r="L50" s="14"/>
      <c r="M50" s="14"/>
      <c r="N50" s="2"/>
      <c r="O50" s="4" t="str">
        <f>IFERROR(VLOOKUP(P50,#REF!,2,0),"")</f>
        <v/>
      </c>
      <c r="P50" s="5"/>
      <c r="Q50" s="4" t="str">
        <f>+IFERROR(VLOOKUP(R50,#REF!,2,0),"")</f>
        <v/>
      </c>
      <c r="R50" s="5"/>
      <c r="S50" s="4" t="str">
        <f>+IFERROR(VLOOKUP(T50,#REF!,2,0),"")</f>
        <v/>
      </c>
      <c r="T50" s="5"/>
      <c r="U50" s="6" t="str">
        <f>IFERROR((VLOOKUP(P50,#REF!,2,0)*VLOOKUP(R50,#REF!,2,0)*VLOOKUP(T50,#REF!,2,0)),"")</f>
        <v/>
      </c>
    </row>
    <row r="51" spans="1:21" ht="15" x14ac:dyDescent="0.25">
      <c r="A51" s="2"/>
      <c r="B51" s="2"/>
      <c r="C51" s="2"/>
      <c r="D51" s="2"/>
      <c r="E51" s="4" t="str">
        <f>IFERROR(+VLOOKUP(F51,Indexes!$A$2:$B$8,2,0),"")</f>
        <v/>
      </c>
      <c r="F51" s="5"/>
      <c r="G51" s="4" t="str">
        <f>+IFERROR(VLOOKUP(H51,Indexes!$C$2:$D$8,2,0),"")</f>
        <v/>
      </c>
      <c r="H51" s="5"/>
      <c r="I51" s="4" t="str">
        <f>+IFERROR(VLOOKUP(J51,Indexes!$E$2:$F$8,2,0),"")</f>
        <v/>
      </c>
      <c r="J51" s="5"/>
      <c r="K51" s="6" t="e">
        <f t="shared" si="0"/>
        <v>#VALUE!</v>
      </c>
      <c r="L51" s="2"/>
      <c r="M51" s="2"/>
      <c r="N51" s="2"/>
      <c r="O51" s="4" t="str">
        <f>IFERROR(VLOOKUP(P51,#REF!,2,0),"")</f>
        <v/>
      </c>
      <c r="P51" s="5"/>
      <c r="Q51" s="4" t="str">
        <f>+IFERROR(VLOOKUP(R51,#REF!,2,0),"")</f>
        <v/>
      </c>
      <c r="R51" s="5"/>
      <c r="S51" s="4" t="str">
        <f>+IFERROR(VLOOKUP(T51,#REF!,2,0),"")</f>
        <v/>
      </c>
      <c r="T51" s="5"/>
      <c r="U51" s="6" t="str">
        <f>IFERROR((VLOOKUP(P51,#REF!,2,0)*VLOOKUP(R51,#REF!,2,0)*VLOOKUP(T51,#REF!,2,0)),"")</f>
        <v/>
      </c>
    </row>
    <row r="52" spans="1:21" ht="15" x14ac:dyDescent="0.25">
      <c r="A52" s="2"/>
      <c r="B52" s="2"/>
      <c r="C52" s="2"/>
      <c r="D52" s="2"/>
      <c r="E52" s="4" t="str">
        <f>IFERROR(+VLOOKUP(F52,Indexes!$A$2:$B$8,2,0),"")</f>
        <v/>
      </c>
      <c r="F52" s="5"/>
      <c r="G52" s="4" t="str">
        <f>+IFERROR(VLOOKUP(H52,Indexes!$C$2:$D$8,2,0),"")</f>
        <v/>
      </c>
      <c r="H52" s="5"/>
      <c r="I52" s="4" t="str">
        <f>+IFERROR(VLOOKUP(J52,Indexes!$E$2:$F$8,2,0),"")</f>
        <v/>
      </c>
      <c r="J52" s="5"/>
      <c r="K52" s="6" t="e">
        <f t="shared" si="0"/>
        <v>#VALUE!</v>
      </c>
      <c r="L52" s="2"/>
      <c r="M52" s="2"/>
      <c r="N52" s="2"/>
      <c r="O52" s="4" t="str">
        <f>IFERROR(VLOOKUP(P52,#REF!,2,0),"")</f>
        <v/>
      </c>
      <c r="P52" s="5"/>
      <c r="Q52" s="4" t="str">
        <f>+IFERROR(VLOOKUP(R52,#REF!,2,0),"")</f>
        <v/>
      </c>
      <c r="R52" s="5"/>
      <c r="S52" s="4" t="str">
        <f>+IFERROR(VLOOKUP(T52,#REF!,2,0),"")</f>
        <v/>
      </c>
      <c r="T52" s="5"/>
      <c r="U52" s="6" t="str">
        <f>IFERROR((VLOOKUP(P52,#REF!,2,0)*VLOOKUP(R52,#REF!,2,0)*VLOOKUP(T52,#REF!,2,0)),"")</f>
        <v/>
      </c>
    </row>
    <row r="53" spans="1:21" ht="15" x14ac:dyDescent="0.25">
      <c r="A53" s="2"/>
      <c r="B53" s="2"/>
      <c r="C53" s="2"/>
      <c r="D53" s="2"/>
      <c r="E53" s="4" t="str">
        <f>IFERROR(+VLOOKUP(F53,Indexes!$A$2:$B$8,2,0),"")</f>
        <v/>
      </c>
      <c r="F53" s="5"/>
      <c r="G53" s="4" t="str">
        <f>+IFERROR(VLOOKUP(H53,Indexes!$C$2:$D$8,2,0),"")</f>
        <v/>
      </c>
      <c r="H53" s="5"/>
      <c r="I53" s="4" t="str">
        <f>+IFERROR(VLOOKUP(J53,Indexes!$E$2:$F$8,2,0),"")</f>
        <v/>
      </c>
      <c r="J53" s="5"/>
      <c r="K53" s="6" t="e">
        <f t="shared" si="0"/>
        <v>#VALUE!</v>
      </c>
      <c r="L53" s="2"/>
      <c r="M53" s="2"/>
      <c r="N53" s="2"/>
      <c r="O53" s="4" t="str">
        <f>IFERROR(VLOOKUP(P53,#REF!,2,0),"")</f>
        <v/>
      </c>
      <c r="P53" s="5"/>
      <c r="Q53" s="4" t="str">
        <f>+IFERROR(VLOOKUP(R53,#REF!,2,0),"")</f>
        <v/>
      </c>
      <c r="R53" s="5"/>
      <c r="S53" s="4" t="str">
        <f>+IFERROR(VLOOKUP(T53,#REF!,2,0),"")</f>
        <v/>
      </c>
      <c r="T53" s="5"/>
      <c r="U53" s="6" t="str">
        <f>IFERROR((VLOOKUP(P53,#REF!,2,0)*VLOOKUP(R53,#REF!,2,0)*VLOOKUP(T53,#REF!,2,0)),"")</f>
        <v/>
      </c>
    </row>
    <row r="54" spans="1:21" ht="15" x14ac:dyDescent="0.25">
      <c r="A54" s="2"/>
      <c r="B54" s="2"/>
      <c r="C54" s="2"/>
      <c r="D54" s="2"/>
      <c r="E54" s="4" t="str">
        <f>IFERROR(+VLOOKUP(F54,Indexes!$A$2:$B$8,2,0),"")</f>
        <v/>
      </c>
      <c r="F54" s="5"/>
      <c r="G54" s="4" t="str">
        <f>+IFERROR(VLOOKUP(H54,Indexes!$C$2:$D$8,2,0),"")</f>
        <v/>
      </c>
      <c r="H54" s="5"/>
      <c r="I54" s="4" t="str">
        <f>+IFERROR(VLOOKUP(J54,Indexes!$E$2:$F$8,2,0),"")</f>
        <v/>
      </c>
      <c r="J54" s="5"/>
      <c r="K54" s="6" t="e">
        <f t="shared" si="0"/>
        <v>#VALUE!</v>
      </c>
      <c r="L54" s="2"/>
      <c r="M54" s="2"/>
      <c r="N54" s="2"/>
      <c r="O54" s="4" t="str">
        <f>IFERROR(VLOOKUP(P54,#REF!,2,0),"")</f>
        <v/>
      </c>
      <c r="P54" s="5"/>
      <c r="Q54" s="4" t="str">
        <f>+IFERROR(VLOOKUP(R54,#REF!,2,0),"")</f>
        <v/>
      </c>
      <c r="R54" s="5"/>
      <c r="S54" s="4" t="str">
        <f>+IFERROR(VLOOKUP(T54,#REF!,2,0),"")</f>
        <v/>
      </c>
      <c r="T54" s="5"/>
      <c r="U54" s="6" t="str">
        <f>IFERROR((VLOOKUP(P54,#REF!,2,0)*VLOOKUP(R54,#REF!,2,0)*VLOOKUP(T54,#REF!,2,0)),"")</f>
        <v/>
      </c>
    </row>
    <row r="55" spans="1:21" ht="15" x14ac:dyDescent="0.25">
      <c r="A55" s="2"/>
      <c r="B55" s="2"/>
      <c r="C55" s="2"/>
      <c r="D55" s="2"/>
      <c r="E55" s="4" t="str">
        <f>IFERROR(+VLOOKUP(F55,Indexes!$A$2:$B$8,2,0),"")</f>
        <v/>
      </c>
      <c r="F55" s="5"/>
      <c r="G55" s="4" t="str">
        <f>+IFERROR(VLOOKUP(H55,Indexes!$C$2:$D$8,2,0),"")</f>
        <v/>
      </c>
      <c r="H55" s="5"/>
      <c r="I55" s="4" t="str">
        <f>+IFERROR(VLOOKUP(J55,Indexes!$E$2:$F$8,2,0),"")</f>
        <v/>
      </c>
      <c r="J55" s="5"/>
      <c r="K55" s="6" t="e">
        <f t="shared" si="0"/>
        <v>#VALUE!</v>
      </c>
      <c r="L55" s="2"/>
      <c r="M55" s="2"/>
      <c r="N55" s="2"/>
      <c r="O55" s="4" t="str">
        <f>IFERROR(VLOOKUP(P55,#REF!,2,0),"")</f>
        <v/>
      </c>
      <c r="P55" s="5"/>
      <c r="Q55" s="4" t="str">
        <f>+IFERROR(VLOOKUP(R55,#REF!,2,0),"")</f>
        <v/>
      </c>
      <c r="R55" s="5"/>
      <c r="S55" s="4" t="str">
        <f>+IFERROR(VLOOKUP(T55,#REF!,2,0),"")</f>
        <v/>
      </c>
      <c r="T55" s="5"/>
      <c r="U55" s="6" t="str">
        <f>IFERROR((VLOOKUP(P55,#REF!,2,0)*VLOOKUP(R55,#REF!,2,0)*VLOOKUP(T55,#REF!,2,0)),"")</f>
        <v/>
      </c>
    </row>
    <row r="56" spans="1:21" ht="15" x14ac:dyDescent="0.25">
      <c r="A56" s="2"/>
      <c r="B56" s="2"/>
      <c r="C56" s="2"/>
      <c r="D56" s="2"/>
      <c r="E56" s="4" t="str">
        <f>IFERROR(+VLOOKUP(F56,Indexes!$A$2:$B$8,2,0),"")</f>
        <v/>
      </c>
      <c r="F56" s="5"/>
      <c r="G56" s="4" t="str">
        <f>+IFERROR(VLOOKUP(H56,Indexes!$C$2:$D$8,2,0),"")</f>
        <v/>
      </c>
      <c r="H56" s="5"/>
      <c r="I56" s="4" t="str">
        <f>+IFERROR(VLOOKUP(J56,Indexes!$E$2:$F$8,2,0),"")</f>
        <v/>
      </c>
      <c r="J56" s="5"/>
      <c r="K56" s="6" t="e">
        <f t="shared" si="0"/>
        <v>#VALUE!</v>
      </c>
      <c r="L56" s="2"/>
      <c r="M56" s="2"/>
      <c r="N56" s="2"/>
      <c r="O56" s="4" t="str">
        <f>IFERROR(VLOOKUP(P56,#REF!,2,0),"")</f>
        <v/>
      </c>
      <c r="P56" s="5"/>
      <c r="Q56" s="4" t="str">
        <f>+IFERROR(VLOOKUP(R56,#REF!,2,0),"")</f>
        <v/>
      </c>
      <c r="R56" s="5"/>
      <c r="S56" s="4" t="str">
        <f>+IFERROR(VLOOKUP(T56,#REF!,2,0),"")</f>
        <v/>
      </c>
      <c r="T56" s="5"/>
      <c r="U56" s="6" t="str">
        <f>IFERROR((VLOOKUP(P56,#REF!,2,0)*VLOOKUP(R56,#REF!,2,0)*VLOOKUP(T56,#REF!,2,0)),"")</f>
        <v/>
      </c>
    </row>
    <row r="57" spans="1:21" ht="15" x14ac:dyDescent="0.25">
      <c r="A57" s="2"/>
      <c r="B57" s="2"/>
      <c r="C57" s="2"/>
      <c r="D57" s="2"/>
      <c r="E57" s="4" t="str">
        <f>IFERROR(+VLOOKUP(F57,Indexes!$A$2:$B$8,2,0),"")</f>
        <v/>
      </c>
      <c r="F57" s="5"/>
      <c r="G57" s="4" t="str">
        <f>+IFERROR(VLOOKUP(H57,Indexes!$C$2:$D$8,2,0),"")</f>
        <v/>
      </c>
      <c r="H57" s="5"/>
      <c r="I57" s="4" t="str">
        <f>+IFERROR(VLOOKUP(J57,Indexes!$E$2:$F$8,2,0),"")</f>
        <v/>
      </c>
      <c r="J57" s="5"/>
      <c r="K57" s="6" t="e">
        <f t="shared" si="0"/>
        <v>#VALUE!</v>
      </c>
      <c r="L57" s="2"/>
      <c r="M57" s="2"/>
      <c r="N57" s="2"/>
      <c r="O57" s="4" t="str">
        <f>IFERROR(VLOOKUP(P57,#REF!,2,0),"")</f>
        <v/>
      </c>
      <c r="P57" s="5"/>
      <c r="Q57" s="4" t="str">
        <f>+IFERROR(VLOOKUP(R57,#REF!,2,0),"")</f>
        <v/>
      </c>
      <c r="R57" s="5"/>
      <c r="S57" s="4" t="str">
        <f>+IFERROR(VLOOKUP(T57,#REF!,2,0),"")</f>
        <v/>
      </c>
      <c r="T57" s="5"/>
      <c r="U57" s="6" t="str">
        <f>IFERROR((VLOOKUP(P57,#REF!,2,0)*VLOOKUP(R57,#REF!,2,0)*VLOOKUP(T57,#REF!,2,0)),"")</f>
        <v/>
      </c>
    </row>
    <row r="58" spans="1:21" ht="15" x14ac:dyDescent="0.25">
      <c r="A58" s="2"/>
      <c r="B58" s="2"/>
      <c r="C58" s="2"/>
      <c r="D58" s="2"/>
      <c r="E58" s="4" t="str">
        <f>IFERROR(+VLOOKUP(F58,Indexes!$A$2:$B$8,2,0),"")</f>
        <v/>
      </c>
      <c r="F58" s="5"/>
      <c r="G58" s="4" t="str">
        <f>+IFERROR(VLOOKUP(H58,Indexes!$C$2:$D$8,2,0),"")</f>
        <v/>
      </c>
      <c r="H58" s="5"/>
      <c r="I58" s="4" t="str">
        <f>+IFERROR(VLOOKUP(J58,Indexes!$E$2:$F$8,2,0),"")</f>
        <v/>
      </c>
      <c r="J58" s="5"/>
      <c r="K58" s="6" t="e">
        <f t="shared" si="0"/>
        <v>#VALUE!</v>
      </c>
      <c r="L58" s="2"/>
      <c r="M58" s="2"/>
      <c r="N58" s="2"/>
      <c r="O58" s="4" t="str">
        <f>IFERROR(VLOOKUP(P58,#REF!,2,0),"")</f>
        <v/>
      </c>
      <c r="P58" s="5"/>
      <c r="Q58" s="4" t="str">
        <f>+IFERROR(VLOOKUP(R58,#REF!,2,0),"")</f>
        <v/>
      </c>
      <c r="R58" s="5"/>
      <c r="S58" s="4" t="str">
        <f>+IFERROR(VLOOKUP(T58,#REF!,2,0),"")</f>
        <v/>
      </c>
      <c r="T58" s="5"/>
      <c r="U58" s="6" t="str">
        <f>IFERROR((VLOOKUP(P58,#REF!,2,0)*VLOOKUP(R58,#REF!,2,0)*VLOOKUP(T58,#REF!,2,0)),"")</f>
        <v/>
      </c>
    </row>
    <row r="59" spans="1:21" ht="15" x14ac:dyDescent="0.25">
      <c r="A59" s="2"/>
      <c r="B59" s="2"/>
      <c r="C59" s="2"/>
      <c r="D59" s="2"/>
      <c r="E59" s="4" t="str">
        <f>IFERROR(+VLOOKUP(F59,Indexes!$A$2:$B$8,2,0),"")</f>
        <v/>
      </c>
      <c r="F59" s="5"/>
      <c r="G59" s="4" t="str">
        <f>+IFERROR(VLOOKUP(H59,Indexes!$C$2:$D$8,2,0),"")</f>
        <v/>
      </c>
      <c r="H59" s="5"/>
      <c r="I59" s="4" t="str">
        <f>+IFERROR(VLOOKUP(J59,Indexes!$E$2:$F$8,2,0),"")</f>
        <v/>
      </c>
      <c r="J59" s="5"/>
      <c r="K59" s="6" t="e">
        <f t="shared" si="0"/>
        <v>#VALUE!</v>
      </c>
      <c r="L59" s="2"/>
      <c r="M59" s="2"/>
      <c r="N59" s="2"/>
      <c r="O59" s="4" t="str">
        <f>IFERROR(VLOOKUP(P59,#REF!,2,0),"")</f>
        <v/>
      </c>
      <c r="P59" s="5"/>
      <c r="Q59" s="4" t="str">
        <f>+IFERROR(VLOOKUP(R59,#REF!,2,0),"")</f>
        <v/>
      </c>
      <c r="R59" s="5"/>
      <c r="S59" s="4" t="str">
        <f>+IFERROR(VLOOKUP(T59,#REF!,2,0),"")</f>
        <v/>
      </c>
      <c r="T59" s="5"/>
      <c r="U59" s="6" t="str">
        <f>IFERROR((VLOOKUP(P59,#REF!,2,0)*VLOOKUP(R59,#REF!,2,0)*VLOOKUP(T59,#REF!,2,0)),"")</f>
        <v/>
      </c>
    </row>
    <row r="60" spans="1:21" ht="15" x14ac:dyDescent="0.25">
      <c r="A60" s="2"/>
      <c r="B60" s="2"/>
      <c r="C60" s="2"/>
      <c r="D60" s="2"/>
      <c r="E60" s="4" t="str">
        <f>IFERROR(+VLOOKUP(F60,Indexes!$A$2:$B$8,2,0),"")</f>
        <v/>
      </c>
      <c r="F60" s="5"/>
      <c r="G60" s="4" t="str">
        <f>+IFERROR(VLOOKUP(H60,Indexes!$C$2:$D$8,2,0),"")</f>
        <v/>
      </c>
      <c r="H60" s="5"/>
      <c r="I60" s="4" t="str">
        <f>+IFERROR(VLOOKUP(J60,Indexes!$E$2:$F$8,2,0),"")</f>
        <v/>
      </c>
      <c r="J60" s="5"/>
      <c r="K60" s="6" t="e">
        <f t="shared" si="0"/>
        <v>#VALUE!</v>
      </c>
      <c r="L60" s="2"/>
      <c r="M60" s="2"/>
      <c r="N60" s="2"/>
      <c r="O60" s="4" t="str">
        <f>IFERROR(VLOOKUP(P60,#REF!,2,0),"")</f>
        <v/>
      </c>
      <c r="P60" s="5"/>
      <c r="Q60" s="4" t="str">
        <f>+IFERROR(VLOOKUP(R60,#REF!,2,0),"")</f>
        <v/>
      </c>
      <c r="R60" s="5"/>
      <c r="S60" s="4" t="str">
        <f>+IFERROR(VLOOKUP(T60,#REF!,2,0),"")</f>
        <v/>
      </c>
      <c r="T60" s="5"/>
      <c r="U60" s="6" t="str">
        <f>IFERROR((VLOOKUP(P60,#REF!,2,0)*VLOOKUP(R60,#REF!,2,0)*VLOOKUP(T60,#REF!,2,0)),"")</f>
        <v/>
      </c>
    </row>
    <row r="61" spans="1:21" ht="15" x14ac:dyDescent="0.25">
      <c r="A61" s="2"/>
      <c r="B61" s="2"/>
      <c r="C61" s="2"/>
      <c r="D61" s="2"/>
      <c r="E61" s="4" t="str">
        <f>IFERROR(+VLOOKUP(F61,Indexes!$A$2:$B$8,2,0),"")</f>
        <v/>
      </c>
      <c r="F61" s="5"/>
      <c r="G61" s="4" t="str">
        <f>+IFERROR(VLOOKUP(H61,Indexes!$C$2:$D$8,2,0),"")</f>
        <v/>
      </c>
      <c r="H61" s="5"/>
      <c r="I61" s="4" t="str">
        <f>+IFERROR(VLOOKUP(J61,Indexes!$E$2:$F$8,2,0),"")</f>
        <v/>
      </c>
      <c r="J61" s="5"/>
      <c r="K61" s="6" t="e">
        <f t="shared" si="0"/>
        <v>#VALUE!</v>
      </c>
      <c r="L61" s="2"/>
      <c r="M61" s="2"/>
      <c r="N61" s="2"/>
      <c r="O61" s="4" t="str">
        <f>IFERROR(VLOOKUP(P61,#REF!,2,0),"")</f>
        <v/>
      </c>
      <c r="P61" s="5"/>
      <c r="Q61" s="4" t="str">
        <f>+IFERROR(VLOOKUP(R61,#REF!,2,0),"")</f>
        <v/>
      </c>
      <c r="R61" s="5"/>
      <c r="S61" s="4" t="str">
        <f>+IFERROR(VLOOKUP(T61,#REF!,2,0),"")</f>
        <v/>
      </c>
      <c r="T61" s="5"/>
      <c r="U61" s="6" t="str">
        <f>IFERROR((VLOOKUP(P61,#REF!,2,0)*VLOOKUP(R61,#REF!,2,0)*VLOOKUP(T61,#REF!,2,0)),"")</f>
        <v/>
      </c>
    </row>
    <row r="62" spans="1:21" ht="15" x14ac:dyDescent="0.25">
      <c r="A62" s="2"/>
      <c r="B62" s="2"/>
      <c r="C62" s="2"/>
      <c r="D62" s="2"/>
      <c r="E62" s="4" t="str">
        <f>IFERROR(+VLOOKUP(F62,Indexes!$A$2:$B$8,2,0),"")</f>
        <v/>
      </c>
      <c r="F62" s="5"/>
      <c r="G62" s="4" t="str">
        <f>+IFERROR(VLOOKUP(H62,Indexes!$C$2:$D$8,2,0),"")</f>
        <v/>
      </c>
      <c r="H62" s="5"/>
      <c r="I62" s="4" t="str">
        <f>+IFERROR(VLOOKUP(J62,Indexes!$E$2:$F$8,2,0),"")</f>
        <v/>
      </c>
      <c r="J62" s="5"/>
      <c r="K62" s="6" t="e">
        <f t="shared" si="0"/>
        <v>#VALUE!</v>
      </c>
      <c r="L62" s="2"/>
      <c r="M62" s="2"/>
      <c r="N62" s="2"/>
      <c r="O62" s="4" t="str">
        <f>IFERROR(VLOOKUP(P62,#REF!,2,0),"")</f>
        <v/>
      </c>
      <c r="P62" s="5"/>
      <c r="Q62" s="4" t="str">
        <f>+IFERROR(VLOOKUP(R62,#REF!,2,0),"")</f>
        <v/>
      </c>
      <c r="R62" s="5"/>
      <c r="S62" s="4" t="str">
        <f>+IFERROR(VLOOKUP(T62,#REF!,2,0),"")</f>
        <v/>
      </c>
      <c r="T62" s="5"/>
      <c r="U62" s="6" t="str">
        <f>IFERROR((VLOOKUP(P62,#REF!,2,0)*VLOOKUP(R62,#REF!,2,0)*VLOOKUP(T62,#REF!,2,0)),"")</f>
        <v/>
      </c>
    </row>
    <row r="63" spans="1:21" ht="15" x14ac:dyDescent="0.25">
      <c r="A63" s="2"/>
      <c r="B63" s="2"/>
      <c r="C63" s="2"/>
      <c r="D63" s="2"/>
      <c r="E63" s="4" t="str">
        <f>IFERROR(+VLOOKUP(F63,Indexes!$A$2:$B$8,2,0),"")</f>
        <v/>
      </c>
      <c r="F63" s="5"/>
      <c r="G63" s="4" t="str">
        <f>+IFERROR(VLOOKUP(H63,Indexes!$C$2:$D$8,2,0),"")</f>
        <v/>
      </c>
      <c r="H63" s="5"/>
      <c r="I63" s="4" t="str">
        <f>+IFERROR(VLOOKUP(J63,Indexes!$E$2:$F$8,2,0),"")</f>
        <v/>
      </c>
      <c r="J63" s="5"/>
      <c r="K63" s="6" t="e">
        <f t="shared" si="0"/>
        <v>#VALUE!</v>
      </c>
      <c r="L63" s="2"/>
      <c r="M63" s="2"/>
      <c r="N63" s="2"/>
      <c r="O63" s="4" t="str">
        <f>IFERROR(VLOOKUP(P63,#REF!,2,0),"")</f>
        <v/>
      </c>
      <c r="P63" s="5"/>
      <c r="Q63" s="4" t="str">
        <f>+IFERROR(VLOOKUP(R63,#REF!,2,0),"")</f>
        <v/>
      </c>
      <c r="R63" s="5"/>
      <c r="S63" s="4" t="str">
        <f>+IFERROR(VLOOKUP(T63,#REF!,2,0),"")</f>
        <v/>
      </c>
      <c r="T63" s="5"/>
      <c r="U63" s="6" t="str">
        <f>IFERROR((VLOOKUP(P63,#REF!,2,0)*VLOOKUP(R63,#REF!,2,0)*VLOOKUP(T63,#REF!,2,0)),"")</f>
        <v/>
      </c>
    </row>
    <row r="64" spans="1:21" ht="15" x14ac:dyDescent="0.25">
      <c r="A64" s="2"/>
      <c r="B64" s="2"/>
      <c r="C64" s="2"/>
      <c r="D64" s="2"/>
      <c r="E64" s="4" t="str">
        <f>IFERROR(+VLOOKUP(F64,Indexes!$A$2:$B$8,2,0),"")</f>
        <v/>
      </c>
      <c r="F64" s="5"/>
      <c r="G64" s="4" t="str">
        <f>+IFERROR(VLOOKUP(H64,Indexes!$C$2:$D$8,2,0),"")</f>
        <v/>
      </c>
      <c r="H64" s="5"/>
      <c r="I64" s="4" t="str">
        <f>+IFERROR(VLOOKUP(J64,Indexes!$E$2:$F$8,2,0),"")</f>
        <v/>
      </c>
      <c r="J64" s="5"/>
      <c r="K64" s="6" t="e">
        <f t="shared" si="0"/>
        <v>#VALUE!</v>
      </c>
      <c r="L64" s="2"/>
      <c r="M64" s="2"/>
      <c r="N64" s="2"/>
      <c r="O64" s="4" t="str">
        <f>IFERROR(VLOOKUP(P64,#REF!,2,0),"")</f>
        <v/>
      </c>
      <c r="P64" s="5"/>
      <c r="Q64" s="4" t="str">
        <f>+IFERROR(VLOOKUP(R64,#REF!,2,0),"")</f>
        <v/>
      </c>
      <c r="R64" s="5"/>
      <c r="S64" s="4" t="str">
        <f>+IFERROR(VLOOKUP(T64,#REF!,2,0),"")</f>
        <v/>
      </c>
      <c r="T64" s="5"/>
      <c r="U64" s="6" t="str">
        <f>IFERROR((VLOOKUP(P64,#REF!,2,0)*VLOOKUP(R64,#REF!,2,0)*VLOOKUP(T64,#REF!,2,0)),"")</f>
        <v/>
      </c>
    </row>
    <row r="65" spans="1:21" ht="15" x14ac:dyDescent="0.25">
      <c r="A65" s="2"/>
      <c r="B65" s="2"/>
      <c r="C65" s="2"/>
      <c r="D65" s="2"/>
      <c r="E65" s="4" t="str">
        <f>IFERROR(+VLOOKUP(F65,Indexes!$A$2:$B$8,2,0),"")</f>
        <v/>
      </c>
      <c r="F65" s="5"/>
      <c r="G65" s="4" t="str">
        <f>+IFERROR(VLOOKUP(H65,Indexes!$C$2:$D$8,2,0),"")</f>
        <v/>
      </c>
      <c r="H65" s="5"/>
      <c r="I65" s="4" t="str">
        <f>+IFERROR(VLOOKUP(J65,Indexes!$E$2:$F$8,2,0),"")</f>
        <v/>
      </c>
      <c r="J65" s="5"/>
      <c r="K65" s="6" t="e">
        <f t="shared" si="0"/>
        <v>#VALUE!</v>
      </c>
      <c r="L65" s="2"/>
      <c r="M65" s="2"/>
      <c r="N65" s="2"/>
      <c r="O65" s="4" t="str">
        <f>IFERROR(VLOOKUP(P65,#REF!,2,0),"")</f>
        <v/>
      </c>
      <c r="P65" s="5"/>
      <c r="Q65" s="4" t="str">
        <f>+IFERROR(VLOOKUP(R65,#REF!,2,0),"")</f>
        <v/>
      </c>
      <c r="R65" s="5"/>
      <c r="S65" s="4" t="str">
        <f>+IFERROR(VLOOKUP(T65,#REF!,2,0),"")</f>
        <v/>
      </c>
      <c r="T65" s="5"/>
      <c r="U65" s="6" t="str">
        <f>IFERROR((VLOOKUP(P65,#REF!,2,0)*VLOOKUP(R65,#REF!,2,0)*VLOOKUP(T65,#REF!,2,0)),"")</f>
        <v/>
      </c>
    </row>
    <row r="66" spans="1:21" ht="15" x14ac:dyDescent="0.25">
      <c r="A66" s="2"/>
      <c r="B66" s="2"/>
      <c r="C66" s="2"/>
      <c r="D66" s="2"/>
      <c r="E66" s="4" t="str">
        <f>IFERROR(+VLOOKUP(F66,Indexes!$A$2:$B$8,2,0),"")</f>
        <v/>
      </c>
      <c r="F66" s="5"/>
      <c r="G66" s="4" t="str">
        <f>+IFERROR(VLOOKUP(H66,Indexes!$C$2:$D$8,2,0),"")</f>
        <v/>
      </c>
      <c r="H66" s="5"/>
      <c r="I66" s="4" t="str">
        <f>+IFERROR(VLOOKUP(J66,Indexes!$E$2:$F$8,2,0),"")</f>
        <v/>
      </c>
      <c r="J66" s="5"/>
      <c r="K66" s="6" t="e">
        <f t="shared" si="0"/>
        <v>#VALUE!</v>
      </c>
      <c r="L66" s="2"/>
      <c r="M66" s="2"/>
      <c r="N66" s="2"/>
      <c r="O66" s="4" t="str">
        <f>IFERROR(VLOOKUP(P66,#REF!,2,0),"")</f>
        <v/>
      </c>
      <c r="P66" s="5"/>
      <c r="Q66" s="4" t="str">
        <f>+IFERROR(VLOOKUP(R66,#REF!,2,0),"")</f>
        <v/>
      </c>
      <c r="R66" s="5"/>
      <c r="S66" s="4" t="str">
        <f>+IFERROR(VLOOKUP(T66,#REF!,2,0),"")</f>
        <v/>
      </c>
      <c r="T66" s="5"/>
      <c r="U66" s="6" t="str">
        <f>IFERROR((VLOOKUP(P66,#REF!,2,0)*VLOOKUP(R66,#REF!,2,0)*VLOOKUP(T66,#REF!,2,0)),"")</f>
        <v/>
      </c>
    </row>
    <row r="67" spans="1:21" ht="15" x14ac:dyDescent="0.25">
      <c r="A67" s="2"/>
      <c r="B67" s="2"/>
      <c r="C67" s="2"/>
      <c r="D67" s="2"/>
      <c r="E67" s="4" t="str">
        <f>IFERROR(+VLOOKUP(F67,Indexes!$A$2:$B$8,2,0),"")</f>
        <v/>
      </c>
      <c r="F67" s="5"/>
      <c r="G67" s="4" t="str">
        <f>+IFERROR(VLOOKUP(H67,Indexes!$C$2:$D$8,2,0),"")</f>
        <v/>
      </c>
      <c r="H67" s="5"/>
      <c r="I67" s="4" t="str">
        <f>+IFERROR(VLOOKUP(J67,Indexes!$E$2:$F$8,2,0),"")</f>
        <v/>
      </c>
      <c r="J67" s="5"/>
      <c r="K67" s="6" t="e">
        <f t="shared" si="0"/>
        <v>#VALUE!</v>
      </c>
      <c r="L67" s="2"/>
      <c r="M67" s="2"/>
      <c r="N67" s="2"/>
      <c r="O67" s="4" t="str">
        <f>IFERROR(VLOOKUP(P67,#REF!,2,0),"")</f>
        <v/>
      </c>
      <c r="P67" s="5"/>
      <c r="Q67" s="4" t="str">
        <f>+IFERROR(VLOOKUP(R67,#REF!,2,0),"")</f>
        <v/>
      </c>
      <c r="R67" s="5"/>
      <c r="S67" s="4" t="str">
        <f>+IFERROR(VLOOKUP(T67,#REF!,2,0),"")</f>
        <v/>
      </c>
      <c r="T67" s="5"/>
      <c r="U67" s="6" t="str">
        <f>IFERROR((VLOOKUP(P67,#REF!,2,0)*VLOOKUP(R67,#REF!,2,0)*VLOOKUP(T67,#REF!,2,0)),"")</f>
        <v/>
      </c>
    </row>
    <row r="68" spans="1:21" ht="15" x14ac:dyDescent="0.25">
      <c r="A68" s="2"/>
      <c r="B68" s="2"/>
      <c r="C68" s="2"/>
      <c r="D68" s="2"/>
      <c r="E68" s="4" t="str">
        <f>IFERROR(+VLOOKUP(F68,Indexes!$A$2:$B$8,2,0),"")</f>
        <v/>
      </c>
      <c r="F68" s="5"/>
      <c r="G68" s="4" t="str">
        <f>+IFERROR(VLOOKUP(H68,Indexes!$C$2:$D$8,2,0),"")</f>
        <v/>
      </c>
      <c r="H68" s="5"/>
      <c r="I68" s="4" t="str">
        <f>+IFERROR(VLOOKUP(J68,Indexes!$E$2:$F$8,2,0),"")</f>
        <v/>
      </c>
      <c r="J68" s="5"/>
      <c r="K68" s="6" t="e">
        <f t="shared" si="0"/>
        <v>#VALUE!</v>
      </c>
      <c r="L68" s="2"/>
      <c r="M68" s="2"/>
      <c r="N68" s="2"/>
      <c r="O68" s="4" t="str">
        <f>IFERROR(VLOOKUP(P68,#REF!,2,0),"")</f>
        <v/>
      </c>
      <c r="P68" s="5"/>
      <c r="Q68" s="4" t="str">
        <f>+IFERROR(VLOOKUP(R68,#REF!,2,0),"")</f>
        <v/>
      </c>
      <c r="R68" s="5"/>
      <c r="S68" s="4" t="str">
        <f>+IFERROR(VLOOKUP(T68,#REF!,2,0),"")</f>
        <v/>
      </c>
      <c r="T68" s="5"/>
      <c r="U68" s="6" t="str">
        <f>IFERROR((VLOOKUP(P68,#REF!,2,0)*VLOOKUP(R68,#REF!,2,0)*VLOOKUP(T68,#REF!,2,0)),"")</f>
        <v/>
      </c>
    </row>
    <row r="69" spans="1:21" ht="15" x14ac:dyDescent="0.25">
      <c r="A69" s="2"/>
      <c r="B69" s="2"/>
      <c r="C69" s="2"/>
      <c r="D69" s="2"/>
      <c r="E69" s="4" t="str">
        <f>IFERROR(+VLOOKUP(F69,Indexes!$A$2:$B$8,2,0),"")</f>
        <v/>
      </c>
      <c r="F69" s="5"/>
      <c r="G69" s="4" t="str">
        <f>+IFERROR(VLOOKUP(H69,Indexes!$C$2:$D$8,2,0),"")</f>
        <v/>
      </c>
      <c r="H69" s="5"/>
      <c r="I69" s="4" t="str">
        <f>+IFERROR(VLOOKUP(J69,Indexes!$E$2:$F$8,2,0),"")</f>
        <v/>
      </c>
      <c r="J69" s="5"/>
      <c r="K69" s="6" t="e">
        <f t="shared" si="0"/>
        <v>#VALUE!</v>
      </c>
      <c r="L69" s="2"/>
      <c r="M69" s="2"/>
      <c r="N69" s="2"/>
      <c r="O69" s="4" t="str">
        <f>IFERROR(VLOOKUP(P69,#REF!,2,0),"")</f>
        <v/>
      </c>
      <c r="P69" s="5"/>
      <c r="Q69" s="4" t="str">
        <f>+IFERROR(VLOOKUP(R69,#REF!,2,0),"")</f>
        <v/>
      </c>
      <c r="R69" s="5"/>
      <c r="S69" s="4" t="str">
        <f>+IFERROR(VLOOKUP(T69,#REF!,2,0),"")</f>
        <v/>
      </c>
      <c r="T69" s="5"/>
      <c r="U69" s="6" t="str">
        <f>IFERROR((VLOOKUP(P69,#REF!,2,0)*VLOOKUP(R69,#REF!,2,0)*VLOOKUP(T69,#REF!,2,0)),"")</f>
        <v/>
      </c>
    </row>
    <row r="70" spans="1:21" ht="15" x14ac:dyDescent="0.25">
      <c r="A70" s="2"/>
      <c r="B70" s="2"/>
      <c r="C70" s="2"/>
      <c r="D70" s="2"/>
      <c r="E70" s="4" t="str">
        <f>IFERROR(+VLOOKUP(F70,Indexes!$A$2:$B$8,2,0),"")</f>
        <v/>
      </c>
      <c r="F70" s="5"/>
      <c r="G70" s="4" t="str">
        <f>+IFERROR(VLOOKUP(H70,Indexes!$C$2:$D$8,2,0),"")</f>
        <v/>
      </c>
      <c r="H70" s="5"/>
      <c r="I70" s="4" t="str">
        <f>+IFERROR(VLOOKUP(J70,Indexes!$E$2:$F$8,2,0),"")</f>
        <v/>
      </c>
      <c r="J70" s="5"/>
      <c r="K70" s="6" t="e">
        <f t="shared" si="0"/>
        <v>#VALUE!</v>
      </c>
      <c r="L70" s="2"/>
      <c r="M70" s="2"/>
      <c r="N70" s="2"/>
      <c r="O70" s="4" t="str">
        <f>IFERROR(VLOOKUP(P70,#REF!,2,0),"")</f>
        <v/>
      </c>
      <c r="P70" s="5"/>
      <c r="Q70" s="4" t="str">
        <f>+IFERROR(VLOOKUP(R70,#REF!,2,0),"")</f>
        <v/>
      </c>
      <c r="R70" s="5"/>
      <c r="S70" s="4" t="str">
        <f>+IFERROR(VLOOKUP(T70,#REF!,2,0),"")</f>
        <v/>
      </c>
      <c r="T70" s="5"/>
      <c r="U70" s="6" t="str">
        <f>IFERROR((VLOOKUP(P70,#REF!,2,0)*VLOOKUP(R70,#REF!,2,0)*VLOOKUP(T70,#REF!,2,0)),"")</f>
        <v/>
      </c>
    </row>
    <row r="71" spans="1:21" ht="15" x14ac:dyDescent="0.25">
      <c r="A71" s="2"/>
      <c r="B71" s="2"/>
      <c r="C71" s="2"/>
      <c r="D71" s="2"/>
      <c r="E71" s="4" t="str">
        <f>IFERROR(+VLOOKUP(F71,Indexes!$A$2:$B$8,2,0),"")</f>
        <v/>
      </c>
      <c r="F71" s="5"/>
      <c r="G71" s="4" t="str">
        <f>+IFERROR(VLOOKUP(H71,Indexes!$C$2:$D$8,2,0),"")</f>
        <v/>
      </c>
      <c r="H71" s="5"/>
      <c r="I71" s="4" t="str">
        <f>+IFERROR(VLOOKUP(J71,Indexes!$E$2:$F$8,2,0),"")</f>
        <v/>
      </c>
      <c r="J71" s="5"/>
      <c r="K71" s="6" t="e">
        <f t="shared" si="0"/>
        <v>#VALUE!</v>
      </c>
      <c r="L71" s="2"/>
      <c r="M71" s="2"/>
      <c r="N71" s="2"/>
      <c r="O71" s="4" t="str">
        <f>IFERROR(VLOOKUP(P71,#REF!,2,0),"")</f>
        <v/>
      </c>
      <c r="P71" s="5"/>
      <c r="Q71" s="4" t="str">
        <f>+IFERROR(VLOOKUP(R71,#REF!,2,0),"")</f>
        <v/>
      </c>
      <c r="R71" s="5"/>
      <c r="S71" s="4" t="str">
        <f>+IFERROR(VLOOKUP(T71,#REF!,2,0),"")</f>
        <v/>
      </c>
      <c r="T71" s="5"/>
      <c r="U71" s="6" t="str">
        <f>IFERROR((VLOOKUP(P71,#REF!,2,0)*VLOOKUP(R71,#REF!,2,0)*VLOOKUP(T71,#REF!,2,0)),"")</f>
        <v/>
      </c>
    </row>
    <row r="72" spans="1:21" ht="15" x14ac:dyDescent="0.25">
      <c r="A72" s="2"/>
      <c r="B72" s="2"/>
      <c r="C72" s="2"/>
      <c r="D72" s="2"/>
      <c r="E72" s="4" t="str">
        <f>IFERROR(+VLOOKUP(F72,Indexes!$A$2:$B$8,2,0),"")</f>
        <v/>
      </c>
      <c r="F72" s="5"/>
      <c r="G72" s="4" t="str">
        <f>+IFERROR(VLOOKUP(H72,Indexes!$C$2:$D$8,2,0),"")</f>
        <v/>
      </c>
      <c r="H72" s="5"/>
      <c r="I72" s="4" t="str">
        <f>+IFERROR(VLOOKUP(J72,Indexes!$E$2:$F$8,2,0),"")</f>
        <v/>
      </c>
      <c r="J72" s="5"/>
      <c r="K72" s="6" t="e">
        <f t="shared" si="0"/>
        <v>#VALUE!</v>
      </c>
      <c r="L72" s="2"/>
      <c r="M72" s="2"/>
      <c r="N72" s="2"/>
      <c r="O72" s="4" t="str">
        <f>IFERROR(VLOOKUP(P72,#REF!,2,0),"")</f>
        <v/>
      </c>
      <c r="P72" s="5"/>
      <c r="Q72" s="4" t="str">
        <f>+IFERROR(VLOOKUP(R72,#REF!,2,0),"")</f>
        <v/>
      </c>
      <c r="R72" s="5"/>
      <c r="S72" s="4" t="str">
        <f>+IFERROR(VLOOKUP(T72,#REF!,2,0),"")</f>
        <v/>
      </c>
      <c r="T72" s="5"/>
      <c r="U72" s="6" t="str">
        <f>IFERROR((VLOOKUP(P72,#REF!,2,0)*VLOOKUP(R72,#REF!,2,0)*VLOOKUP(T72,#REF!,2,0)),"")</f>
        <v/>
      </c>
    </row>
    <row r="73" spans="1:21" ht="15" x14ac:dyDescent="0.25">
      <c r="A73" s="2"/>
      <c r="B73" s="2"/>
      <c r="C73" s="2"/>
      <c r="D73" s="2"/>
      <c r="E73" s="4" t="str">
        <f>IFERROR(+VLOOKUP(F73,Indexes!$A$2:$B$8,2,0),"")</f>
        <v/>
      </c>
      <c r="F73" s="5"/>
      <c r="G73" s="4" t="str">
        <f>+IFERROR(VLOOKUP(H73,Indexes!$C$2:$D$8,2,0),"")</f>
        <v/>
      </c>
      <c r="H73" s="5"/>
      <c r="I73" s="4" t="str">
        <f>+IFERROR(VLOOKUP(J73,Indexes!$E$2:$F$8,2,0),"")</f>
        <v/>
      </c>
      <c r="J73" s="5"/>
      <c r="K73" s="6" t="e">
        <f t="shared" si="0"/>
        <v>#VALUE!</v>
      </c>
      <c r="L73" s="2"/>
      <c r="M73" s="2"/>
      <c r="N73" s="2"/>
      <c r="O73" s="4" t="str">
        <f>IFERROR(VLOOKUP(P73,#REF!,2,0),"")</f>
        <v/>
      </c>
      <c r="P73" s="5"/>
      <c r="Q73" s="4" t="str">
        <f>+IFERROR(VLOOKUP(R73,#REF!,2,0),"")</f>
        <v/>
      </c>
      <c r="R73" s="5"/>
      <c r="S73" s="4" t="str">
        <f>+IFERROR(VLOOKUP(T73,#REF!,2,0),"")</f>
        <v/>
      </c>
      <c r="T73" s="5"/>
      <c r="U73" s="6" t="str">
        <f>IFERROR((VLOOKUP(P73,#REF!,2,0)*VLOOKUP(R73,#REF!,2,0)*VLOOKUP(T73,#REF!,2,0)),"")</f>
        <v/>
      </c>
    </row>
    <row r="74" spans="1:21" ht="15" x14ac:dyDescent="0.25">
      <c r="A74" s="2"/>
      <c r="B74" s="2"/>
      <c r="C74" s="2"/>
      <c r="D74" s="2"/>
      <c r="E74" s="4" t="str">
        <f>IFERROR(+VLOOKUP(F74,Indexes!$A$2:$B$8,2,0),"")</f>
        <v/>
      </c>
      <c r="F74" s="5"/>
      <c r="G74" s="4" t="str">
        <f>+IFERROR(VLOOKUP(H74,Indexes!$C$2:$D$8,2,0),"")</f>
        <v/>
      </c>
      <c r="H74" s="5"/>
      <c r="I74" s="4" t="str">
        <f>+IFERROR(VLOOKUP(J74,Indexes!$E$2:$F$8,2,0),"")</f>
        <v/>
      </c>
      <c r="J74" s="5"/>
      <c r="K74" s="6" t="e">
        <f t="shared" si="0"/>
        <v>#VALUE!</v>
      </c>
      <c r="L74" s="2"/>
      <c r="M74" s="2"/>
      <c r="N74" s="2"/>
      <c r="O74" s="4" t="str">
        <f>IFERROR(VLOOKUP(P74,#REF!,2,0),"")</f>
        <v/>
      </c>
      <c r="P74" s="5"/>
      <c r="Q74" s="4" t="str">
        <f>+IFERROR(VLOOKUP(R74,#REF!,2,0),"")</f>
        <v/>
      </c>
      <c r="R74" s="5"/>
      <c r="S74" s="4" t="str">
        <f>+IFERROR(VLOOKUP(T74,#REF!,2,0),"")</f>
        <v/>
      </c>
      <c r="T74" s="5"/>
      <c r="U74" s="6" t="str">
        <f>IFERROR((VLOOKUP(P74,#REF!,2,0)*VLOOKUP(R74,#REF!,2,0)*VLOOKUP(T74,#REF!,2,0)),"")</f>
        <v/>
      </c>
    </row>
    <row r="75" spans="1:21" ht="15" x14ac:dyDescent="0.25">
      <c r="A75" s="2"/>
      <c r="B75" s="2"/>
      <c r="C75" s="2"/>
      <c r="D75" s="2"/>
      <c r="E75" s="4" t="str">
        <f>IFERROR(+VLOOKUP(F75,Indexes!$A$2:$B$8,2,0),"")</f>
        <v/>
      </c>
      <c r="F75" s="5"/>
      <c r="G75" s="4" t="str">
        <f>+IFERROR(VLOOKUP(H75,Indexes!$C$2:$D$8,2,0),"")</f>
        <v/>
      </c>
      <c r="H75" s="5"/>
      <c r="I75" s="4" t="str">
        <f>+IFERROR(VLOOKUP(J75,Indexes!$E$2:$F$8,2,0),"")</f>
        <v/>
      </c>
      <c r="J75" s="5"/>
      <c r="K75" s="6" t="e">
        <f t="shared" ref="K75:K138" si="1">I75*G75*E75</f>
        <v>#VALUE!</v>
      </c>
      <c r="L75" s="2"/>
      <c r="M75" s="2"/>
      <c r="N75" s="2"/>
      <c r="O75" s="4" t="str">
        <f>IFERROR(VLOOKUP(P75,#REF!,2,0),"")</f>
        <v/>
      </c>
      <c r="P75" s="5"/>
      <c r="Q75" s="4" t="str">
        <f>+IFERROR(VLOOKUP(R75,#REF!,2,0),"")</f>
        <v/>
      </c>
      <c r="R75" s="5"/>
      <c r="S75" s="4" t="str">
        <f>+IFERROR(VLOOKUP(T75,#REF!,2,0),"")</f>
        <v/>
      </c>
      <c r="T75" s="5"/>
      <c r="U75" s="6" t="str">
        <f>IFERROR((VLOOKUP(P75,#REF!,2,0)*VLOOKUP(R75,#REF!,2,0)*VLOOKUP(T75,#REF!,2,0)),"")</f>
        <v/>
      </c>
    </row>
    <row r="76" spans="1:21" ht="15" x14ac:dyDescent="0.25">
      <c r="A76" s="2"/>
      <c r="B76" s="2"/>
      <c r="C76" s="2"/>
      <c r="D76" s="2"/>
      <c r="E76" s="4" t="str">
        <f>IFERROR(+VLOOKUP(F76,Indexes!$A$2:$B$8,2,0),"")</f>
        <v/>
      </c>
      <c r="F76" s="5"/>
      <c r="G76" s="4" t="str">
        <f>+IFERROR(VLOOKUP(H76,Indexes!$C$2:$D$8,2,0),"")</f>
        <v/>
      </c>
      <c r="H76" s="5"/>
      <c r="I76" s="4" t="str">
        <f>+IFERROR(VLOOKUP(J76,Indexes!$E$2:$F$8,2,0),"")</f>
        <v/>
      </c>
      <c r="J76" s="5"/>
      <c r="K76" s="6" t="e">
        <f t="shared" si="1"/>
        <v>#VALUE!</v>
      </c>
      <c r="L76" s="2"/>
      <c r="M76" s="2"/>
      <c r="N76" s="2"/>
      <c r="O76" s="4" t="str">
        <f>IFERROR(VLOOKUP(P76,#REF!,2,0),"")</f>
        <v/>
      </c>
      <c r="P76" s="5"/>
      <c r="Q76" s="4" t="str">
        <f>+IFERROR(VLOOKUP(R76,#REF!,2,0),"")</f>
        <v/>
      </c>
      <c r="R76" s="5"/>
      <c r="S76" s="4" t="str">
        <f>+IFERROR(VLOOKUP(T76,#REF!,2,0),"")</f>
        <v/>
      </c>
      <c r="T76" s="5"/>
      <c r="U76" s="6" t="str">
        <f>IFERROR((VLOOKUP(P76,#REF!,2,0)*VLOOKUP(R76,#REF!,2,0)*VLOOKUP(T76,#REF!,2,0)),"")</f>
        <v/>
      </c>
    </row>
    <row r="77" spans="1:21" ht="15" x14ac:dyDescent="0.25">
      <c r="A77" s="2"/>
      <c r="B77" s="2"/>
      <c r="C77" s="2"/>
      <c r="D77" s="2"/>
      <c r="E77" s="4" t="str">
        <f>IFERROR(+VLOOKUP(F77,Indexes!$A$2:$B$8,2,0),"")</f>
        <v/>
      </c>
      <c r="F77" s="5"/>
      <c r="G77" s="4" t="str">
        <f>+IFERROR(VLOOKUP(H77,Indexes!$C$2:$D$8,2,0),"")</f>
        <v/>
      </c>
      <c r="H77" s="5"/>
      <c r="I77" s="4" t="str">
        <f>+IFERROR(VLOOKUP(J77,Indexes!$E$2:$F$8,2,0),"")</f>
        <v/>
      </c>
      <c r="J77" s="5"/>
      <c r="K77" s="6" t="e">
        <f t="shared" si="1"/>
        <v>#VALUE!</v>
      </c>
      <c r="L77" s="2"/>
      <c r="M77" s="2"/>
      <c r="N77" s="2"/>
      <c r="O77" s="4" t="str">
        <f>IFERROR(VLOOKUP(P77,#REF!,2,0),"")</f>
        <v/>
      </c>
      <c r="P77" s="5"/>
      <c r="Q77" s="4" t="str">
        <f>+IFERROR(VLOOKUP(R77,#REF!,2,0),"")</f>
        <v/>
      </c>
      <c r="R77" s="5"/>
      <c r="S77" s="4" t="str">
        <f>+IFERROR(VLOOKUP(T77,#REF!,2,0),"")</f>
        <v/>
      </c>
      <c r="T77" s="5"/>
      <c r="U77" s="6" t="str">
        <f>IFERROR((VLOOKUP(P77,#REF!,2,0)*VLOOKUP(R77,#REF!,2,0)*VLOOKUP(T77,#REF!,2,0)),"")</f>
        <v/>
      </c>
    </row>
    <row r="78" spans="1:21" ht="15" x14ac:dyDescent="0.25">
      <c r="A78" s="2"/>
      <c r="B78" s="2"/>
      <c r="C78" s="2"/>
      <c r="D78" s="2"/>
      <c r="E78" s="4" t="str">
        <f>IFERROR(+VLOOKUP(F78,Indexes!$A$2:$B$8,2,0),"")</f>
        <v/>
      </c>
      <c r="F78" s="5"/>
      <c r="G78" s="4" t="str">
        <f>+IFERROR(VLOOKUP(H78,Indexes!$C$2:$D$8,2,0),"")</f>
        <v/>
      </c>
      <c r="H78" s="5"/>
      <c r="I78" s="4" t="str">
        <f>+IFERROR(VLOOKUP(J78,Indexes!$E$2:$F$8,2,0),"")</f>
        <v/>
      </c>
      <c r="J78" s="5"/>
      <c r="K78" s="6" t="e">
        <f t="shared" si="1"/>
        <v>#VALUE!</v>
      </c>
      <c r="L78" s="2"/>
      <c r="M78" s="2"/>
      <c r="N78" s="2"/>
      <c r="O78" s="4" t="str">
        <f>IFERROR(VLOOKUP(P78,#REF!,2,0),"")</f>
        <v/>
      </c>
      <c r="P78" s="5"/>
      <c r="Q78" s="4" t="str">
        <f>+IFERROR(VLOOKUP(R78,#REF!,2,0),"")</f>
        <v/>
      </c>
      <c r="R78" s="5"/>
      <c r="S78" s="4" t="str">
        <f>+IFERROR(VLOOKUP(T78,#REF!,2,0),"")</f>
        <v/>
      </c>
      <c r="T78" s="5"/>
      <c r="U78" s="6" t="str">
        <f>IFERROR((VLOOKUP(P78,#REF!,2,0)*VLOOKUP(R78,#REF!,2,0)*VLOOKUP(T78,#REF!,2,0)),"")</f>
        <v/>
      </c>
    </row>
    <row r="79" spans="1:21" ht="15" x14ac:dyDescent="0.25">
      <c r="A79" s="2"/>
      <c r="B79" s="2"/>
      <c r="C79" s="2"/>
      <c r="D79" s="2"/>
      <c r="E79" s="4" t="str">
        <f>IFERROR(+VLOOKUP(F79,Indexes!$A$2:$B$8,2,0),"")</f>
        <v/>
      </c>
      <c r="F79" s="5"/>
      <c r="G79" s="4" t="str">
        <f>+IFERROR(VLOOKUP(H79,Indexes!$C$2:$D$8,2,0),"")</f>
        <v/>
      </c>
      <c r="H79" s="5"/>
      <c r="I79" s="4" t="str">
        <f>+IFERROR(VLOOKUP(J79,Indexes!$E$2:$F$8,2,0),"")</f>
        <v/>
      </c>
      <c r="J79" s="5"/>
      <c r="K79" s="6" t="e">
        <f t="shared" si="1"/>
        <v>#VALUE!</v>
      </c>
      <c r="L79" s="2"/>
      <c r="M79" s="2"/>
      <c r="N79" s="2"/>
      <c r="O79" s="4" t="str">
        <f>IFERROR(VLOOKUP(P79,#REF!,2,0),"")</f>
        <v/>
      </c>
      <c r="P79" s="5"/>
      <c r="Q79" s="4" t="str">
        <f>+IFERROR(VLOOKUP(R79,#REF!,2,0),"")</f>
        <v/>
      </c>
      <c r="R79" s="5"/>
      <c r="S79" s="4" t="str">
        <f>+IFERROR(VLOOKUP(T79,#REF!,2,0),"")</f>
        <v/>
      </c>
      <c r="T79" s="5"/>
      <c r="U79" s="6" t="str">
        <f>IFERROR((VLOOKUP(P79,#REF!,2,0)*VLOOKUP(R79,#REF!,2,0)*VLOOKUP(T79,#REF!,2,0)),"")</f>
        <v/>
      </c>
    </row>
    <row r="80" spans="1:21" ht="15" x14ac:dyDescent="0.25">
      <c r="A80" s="2"/>
      <c r="B80" s="2"/>
      <c r="C80" s="2"/>
      <c r="D80" s="2"/>
      <c r="E80" s="4" t="str">
        <f>IFERROR(+VLOOKUP(F80,Indexes!$A$2:$B$8,2,0),"")</f>
        <v/>
      </c>
      <c r="F80" s="5"/>
      <c r="G80" s="4" t="str">
        <f>+IFERROR(VLOOKUP(H80,Indexes!$C$2:$D$8,2,0),"")</f>
        <v/>
      </c>
      <c r="H80" s="5"/>
      <c r="I80" s="4" t="str">
        <f>+IFERROR(VLOOKUP(J80,Indexes!$E$2:$F$8,2,0),"")</f>
        <v/>
      </c>
      <c r="J80" s="5"/>
      <c r="K80" s="6" t="e">
        <f t="shared" si="1"/>
        <v>#VALUE!</v>
      </c>
      <c r="L80" s="2"/>
      <c r="M80" s="2"/>
      <c r="N80" s="2"/>
      <c r="O80" s="4" t="str">
        <f>IFERROR(VLOOKUP(P80,#REF!,2,0),"")</f>
        <v/>
      </c>
      <c r="P80" s="5"/>
      <c r="Q80" s="4" t="str">
        <f>+IFERROR(VLOOKUP(R80,#REF!,2,0),"")</f>
        <v/>
      </c>
      <c r="R80" s="5"/>
      <c r="S80" s="4" t="str">
        <f>+IFERROR(VLOOKUP(T80,#REF!,2,0),"")</f>
        <v/>
      </c>
      <c r="T80" s="5"/>
      <c r="U80" s="6" t="str">
        <f>IFERROR((VLOOKUP(P80,#REF!,2,0)*VLOOKUP(R80,#REF!,2,0)*VLOOKUP(T80,#REF!,2,0)),"")</f>
        <v/>
      </c>
    </row>
    <row r="81" spans="1:21" ht="15" x14ac:dyDescent="0.25">
      <c r="A81" s="2"/>
      <c r="B81" s="2"/>
      <c r="C81" s="2"/>
      <c r="D81" s="2"/>
      <c r="E81" s="4" t="str">
        <f>IFERROR(+VLOOKUP(F81,Indexes!$A$2:$B$8,2,0),"")</f>
        <v/>
      </c>
      <c r="F81" s="5"/>
      <c r="G81" s="4" t="str">
        <f>+IFERROR(VLOOKUP(H81,Indexes!$C$2:$D$8,2,0),"")</f>
        <v/>
      </c>
      <c r="H81" s="5"/>
      <c r="I81" s="4" t="str">
        <f>+IFERROR(VLOOKUP(J81,Indexes!$E$2:$F$8,2,0),"")</f>
        <v/>
      </c>
      <c r="J81" s="5"/>
      <c r="K81" s="6" t="e">
        <f t="shared" si="1"/>
        <v>#VALUE!</v>
      </c>
      <c r="L81" s="2"/>
      <c r="M81" s="2"/>
      <c r="N81" s="2"/>
      <c r="O81" s="4" t="str">
        <f>IFERROR(VLOOKUP(P81,#REF!,2,0),"")</f>
        <v/>
      </c>
      <c r="P81" s="5"/>
      <c r="Q81" s="4" t="str">
        <f>+IFERROR(VLOOKUP(R81,#REF!,2,0),"")</f>
        <v/>
      </c>
      <c r="R81" s="5"/>
      <c r="S81" s="4" t="str">
        <f>+IFERROR(VLOOKUP(T81,#REF!,2,0),"")</f>
        <v/>
      </c>
      <c r="T81" s="5"/>
      <c r="U81" s="6" t="str">
        <f>IFERROR((VLOOKUP(P81,#REF!,2,0)*VLOOKUP(R81,#REF!,2,0)*VLOOKUP(T81,#REF!,2,0)),"")</f>
        <v/>
      </c>
    </row>
    <row r="82" spans="1:21" ht="15" x14ac:dyDescent="0.25">
      <c r="A82" s="2"/>
      <c r="B82" s="2"/>
      <c r="C82" s="2"/>
      <c r="D82" s="2"/>
      <c r="E82" s="4" t="str">
        <f>IFERROR(+VLOOKUP(F82,Indexes!$A$2:$B$8,2,0),"")</f>
        <v/>
      </c>
      <c r="F82" s="5"/>
      <c r="G82" s="4" t="str">
        <f>+IFERROR(VLOOKUP(H82,Indexes!$C$2:$D$8,2,0),"")</f>
        <v/>
      </c>
      <c r="H82" s="5"/>
      <c r="I82" s="4" t="str">
        <f>+IFERROR(VLOOKUP(J82,Indexes!$E$2:$F$8,2,0),"")</f>
        <v/>
      </c>
      <c r="J82" s="5"/>
      <c r="K82" s="6" t="e">
        <f t="shared" si="1"/>
        <v>#VALUE!</v>
      </c>
      <c r="L82" s="2"/>
      <c r="M82" s="2"/>
      <c r="N82" s="2"/>
      <c r="O82" s="4" t="str">
        <f>IFERROR(VLOOKUP(P82,#REF!,2,0),"")</f>
        <v/>
      </c>
      <c r="P82" s="5"/>
      <c r="Q82" s="4" t="str">
        <f>+IFERROR(VLOOKUP(R82,#REF!,2,0),"")</f>
        <v/>
      </c>
      <c r="R82" s="5"/>
      <c r="S82" s="4" t="str">
        <f>+IFERROR(VLOOKUP(T82,#REF!,2,0),"")</f>
        <v/>
      </c>
      <c r="T82" s="5"/>
      <c r="U82" s="6" t="str">
        <f>IFERROR((VLOOKUP(P82,#REF!,2,0)*VLOOKUP(R82,#REF!,2,0)*VLOOKUP(T82,#REF!,2,0)),"")</f>
        <v/>
      </c>
    </row>
    <row r="83" spans="1:21" ht="15" x14ac:dyDescent="0.25">
      <c r="A83" s="2"/>
      <c r="B83" s="2"/>
      <c r="C83" s="2"/>
      <c r="D83" s="2"/>
      <c r="E83" s="4" t="str">
        <f>IFERROR(+VLOOKUP(F83,Indexes!$A$2:$B$8,2,0),"")</f>
        <v/>
      </c>
      <c r="F83" s="5"/>
      <c r="G83" s="4" t="str">
        <f>+IFERROR(VLOOKUP(H83,Indexes!$C$2:$D$8,2,0),"")</f>
        <v/>
      </c>
      <c r="H83" s="5"/>
      <c r="I83" s="4" t="str">
        <f>+IFERROR(VLOOKUP(J83,Indexes!$E$2:$F$8,2,0),"")</f>
        <v/>
      </c>
      <c r="J83" s="5"/>
      <c r="K83" s="6" t="e">
        <f t="shared" si="1"/>
        <v>#VALUE!</v>
      </c>
      <c r="L83" s="2"/>
      <c r="M83" s="2"/>
      <c r="N83" s="2"/>
      <c r="O83" s="4" t="str">
        <f>IFERROR(VLOOKUP(P83,#REF!,2,0),"")</f>
        <v/>
      </c>
      <c r="P83" s="5"/>
      <c r="Q83" s="4" t="str">
        <f>+IFERROR(VLOOKUP(R83,#REF!,2,0),"")</f>
        <v/>
      </c>
      <c r="R83" s="5"/>
      <c r="S83" s="4" t="str">
        <f>+IFERROR(VLOOKUP(T83,#REF!,2,0),"")</f>
        <v/>
      </c>
      <c r="T83" s="5"/>
      <c r="U83" s="6" t="str">
        <f>IFERROR((VLOOKUP(P83,#REF!,2,0)*VLOOKUP(R83,#REF!,2,0)*VLOOKUP(T83,#REF!,2,0)),"")</f>
        <v/>
      </c>
    </row>
    <row r="84" spans="1:21" ht="15" x14ac:dyDescent="0.25">
      <c r="A84" s="2"/>
      <c r="B84" s="2"/>
      <c r="C84" s="2"/>
      <c r="D84" s="2"/>
      <c r="E84" s="4" t="str">
        <f>IFERROR(+VLOOKUP(F84,Indexes!$A$2:$B$8,2,0),"")</f>
        <v/>
      </c>
      <c r="F84" s="5"/>
      <c r="G84" s="4" t="str">
        <f>+IFERROR(VLOOKUP(H84,Indexes!$C$2:$D$8,2,0),"")</f>
        <v/>
      </c>
      <c r="H84" s="5"/>
      <c r="I84" s="4" t="str">
        <f>+IFERROR(VLOOKUP(J84,Indexes!$E$2:$F$8,2,0),"")</f>
        <v/>
      </c>
      <c r="J84" s="5"/>
      <c r="K84" s="6" t="e">
        <f t="shared" si="1"/>
        <v>#VALUE!</v>
      </c>
      <c r="L84" s="2"/>
      <c r="M84" s="2"/>
      <c r="N84" s="2"/>
      <c r="O84" s="4" t="str">
        <f>IFERROR(VLOOKUP(P84,#REF!,2,0),"")</f>
        <v/>
      </c>
      <c r="P84" s="5"/>
      <c r="Q84" s="4" t="str">
        <f>+IFERROR(VLOOKUP(R84,#REF!,2,0),"")</f>
        <v/>
      </c>
      <c r="R84" s="5"/>
      <c r="S84" s="4" t="str">
        <f>+IFERROR(VLOOKUP(T84,#REF!,2,0),"")</f>
        <v/>
      </c>
      <c r="T84" s="5"/>
      <c r="U84" s="6" t="str">
        <f>IFERROR((VLOOKUP(P84,#REF!,2,0)*VLOOKUP(R84,#REF!,2,0)*VLOOKUP(T84,#REF!,2,0)),"")</f>
        <v/>
      </c>
    </row>
    <row r="85" spans="1:21" ht="15" x14ac:dyDescent="0.25">
      <c r="A85" s="2"/>
      <c r="B85" s="2"/>
      <c r="C85" s="2"/>
      <c r="D85" s="2"/>
      <c r="E85" s="4" t="str">
        <f>IFERROR(+VLOOKUP(F85,Indexes!$A$2:$B$8,2,0),"")</f>
        <v/>
      </c>
      <c r="F85" s="5"/>
      <c r="G85" s="4" t="str">
        <f>+IFERROR(VLOOKUP(H85,Indexes!$C$2:$D$8,2,0),"")</f>
        <v/>
      </c>
      <c r="H85" s="5"/>
      <c r="I85" s="4" t="str">
        <f>+IFERROR(VLOOKUP(J85,Indexes!$E$2:$F$8,2,0),"")</f>
        <v/>
      </c>
      <c r="J85" s="5"/>
      <c r="K85" s="6" t="e">
        <f t="shared" si="1"/>
        <v>#VALUE!</v>
      </c>
      <c r="L85" s="2"/>
      <c r="M85" s="2"/>
      <c r="N85" s="2"/>
      <c r="O85" s="4" t="str">
        <f>IFERROR(VLOOKUP(P85,#REF!,2,0),"")</f>
        <v/>
      </c>
      <c r="P85" s="5"/>
      <c r="Q85" s="4" t="str">
        <f>+IFERROR(VLOOKUP(R85,#REF!,2,0),"")</f>
        <v/>
      </c>
      <c r="R85" s="5"/>
      <c r="S85" s="4" t="str">
        <f>+IFERROR(VLOOKUP(T85,#REF!,2,0),"")</f>
        <v/>
      </c>
      <c r="T85" s="5"/>
      <c r="U85" s="6" t="str">
        <f>IFERROR((VLOOKUP(P85,#REF!,2,0)*VLOOKUP(R85,#REF!,2,0)*VLOOKUP(T85,#REF!,2,0)),"")</f>
        <v/>
      </c>
    </row>
    <row r="86" spans="1:21" ht="15" x14ac:dyDescent="0.25">
      <c r="A86" s="2"/>
      <c r="B86" s="2"/>
      <c r="C86" s="2"/>
      <c r="D86" s="2"/>
      <c r="E86" s="4" t="str">
        <f>IFERROR(+VLOOKUP(F86,Indexes!$A$2:$B$8,2,0),"")</f>
        <v/>
      </c>
      <c r="F86" s="5"/>
      <c r="G86" s="4" t="str">
        <f>+IFERROR(VLOOKUP(H86,Indexes!$C$2:$D$8,2,0),"")</f>
        <v/>
      </c>
      <c r="H86" s="5"/>
      <c r="I86" s="4" t="str">
        <f>+IFERROR(VLOOKUP(J86,Indexes!$E$2:$F$8,2,0),"")</f>
        <v/>
      </c>
      <c r="J86" s="5"/>
      <c r="K86" s="6" t="e">
        <f t="shared" si="1"/>
        <v>#VALUE!</v>
      </c>
      <c r="L86" s="2"/>
      <c r="M86" s="2"/>
      <c r="N86" s="2"/>
      <c r="O86" s="4" t="str">
        <f>IFERROR(VLOOKUP(P86,#REF!,2,0),"")</f>
        <v/>
      </c>
      <c r="P86" s="5"/>
      <c r="Q86" s="4" t="str">
        <f>+IFERROR(VLOOKUP(R86,#REF!,2,0),"")</f>
        <v/>
      </c>
      <c r="R86" s="5"/>
      <c r="S86" s="4" t="str">
        <f>+IFERROR(VLOOKUP(T86,#REF!,2,0),"")</f>
        <v/>
      </c>
      <c r="T86" s="5"/>
      <c r="U86" s="6" t="str">
        <f>IFERROR((VLOOKUP(P86,#REF!,2,0)*VLOOKUP(R86,#REF!,2,0)*VLOOKUP(T86,#REF!,2,0)),"")</f>
        <v/>
      </c>
    </row>
    <row r="87" spans="1:21" ht="15" x14ac:dyDescent="0.25">
      <c r="A87" s="2"/>
      <c r="B87" s="2"/>
      <c r="C87" s="2"/>
      <c r="D87" s="2"/>
      <c r="E87" s="4" t="str">
        <f>IFERROR(+VLOOKUP(F87,Indexes!$A$2:$B$8,2,0),"")</f>
        <v/>
      </c>
      <c r="F87" s="5"/>
      <c r="G87" s="4" t="str">
        <f>+IFERROR(VLOOKUP(H87,Indexes!$C$2:$D$8,2,0),"")</f>
        <v/>
      </c>
      <c r="H87" s="5"/>
      <c r="I87" s="4" t="str">
        <f>+IFERROR(VLOOKUP(J87,Indexes!$E$2:$F$8,2,0),"")</f>
        <v/>
      </c>
      <c r="J87" s="5"/>
      <c r="K87" s="6" t="e">
        <f t="shared" si="1"/>
        <v>#VALUE!</v>
      </c>
      <c r="L87" s="2"/>
      <c r="M87" s="2"/>
      <c r="N87" s="2"/>
      <c r="O87" s="4" t="str">
        <f>IFERROR(VLOOKUP(P87,#REF!,2,0),"")</f>
        <v/>
      </c>
      <c r="P87" s="5"/>
      <c r="Q87" s="4" t="str">
        <f>+IFERROR(VLOOKUP(R87,#REF!,2,0),"")</f>
        <v/>
      </c>
      <c r="R87" s="5"/>
      <c r="S87" s="4" t="str">
        <f>+IFERROR(VLOOKUP(T87,#REF!,2,0),"")</f>
        <v/>
      </c>
      <c r="T87" s="5"/>
      <c r="U87" s="6" t="str">
        <f>IFERROR((VLOOKUP(P87,#REF!,2,0)*VLOOKUP(R87,#REF!,2,0)*VLOOKUP(T87,#REF!,2,0)),"")</f>
        <v/>
      </c>
    </row>
    <row r="88" spans="1:21" ht="15" x14ac:dyDescent="0.25">
      <c r="A88" s="2"/>
      <c r="B88" s="2"/>
      <c r="C88" s="2"/>
      <c r="D88" s="2"/>
      <c r="E88" s="4" t="str">
        <f>IFERROR(+VLOOKUP(F88,Indexes!$A$2:$B$8,2,0),"")</f>
        <v/>
      </c>
      <c r="F88" s="5"/>
      <c r="G88" s="4" t="str">
        <f>+IFERROR(VLOOKUP(H88,Indexes!$C$2:$D$8,2,0),"")</f>
        <v/>
      </c>
      <c r="H88" s="5"/>
      <c r="I88" s="4" t="str">
        <f>+IFERROR(VLOOKUP(J88,Indexes!$E$2:$F$8,2,0),"")</f>
        <v/>
      </c>
      <c r="J88" s="5"/>
      <c r="K88" s="6" t="e">
        <f t="shared" si="1"/>
        <v>#VALUE!</v>
      </c>
      <c r="L88" s="2"/>
      <c r="M88" s="2"/>
      <c r="N88" s="2"/>
      <c r="O88" s="4" t="str">
        <f>IFERROR(VLOOKUP(P88,#REF!,2,0),"")</f>
        <v/>
      </c>
      <c r="P88" s="5"/>
      <c r="Q88" s="4" t="str">
        <f>+IFERROR(VLOOKUP(R88,#REF!,2,0),"")</f>
        <v/>
      </c>
      <c r="R88" s="5"/>
      <c r="S88" s="4" t="str">
        <f>+IFERROR(VLOOKUP(T88,#REF!,2,0),"")</f>
        <v/>
      </c>
      <c r="T88" s="5"/>
      <c r="U88" s="6" t="str">
        <f>IFERROR((VLOOKUP(P88,#REF!,2,0)*VLOOKUP(R88,#REF!,2,0)*VLOOKUP(T88,#REF!,2,0)),"")</f>
        <v/>
      </c>
    </row>
    <row r="89" spans="1:21" ht="15" x14ac:dyDescent="0.25">
      <c r="A89" s="2"/>
      <c r="B89" s="2"/>
      <c r="C89" s="2"/>
      <c r="D89" s="2"/>
      <c r="E89" s="4" t="str">
        <f>IFERROR(+VLOOKUP(F89,Indexes!$A$2:$B$8,2,0),"")</f>
        <v/>
      </c>
      <c r="F89" s="5"/>
      <c r="G89" s="4" t="str">
        <f>+IFERROR(VLOOKUP(H89,Indexes!$C$2:$D$8,2,0),"")</f>
        <v/>
      </c>
      <c r="H89" s="5"/>
      <c r="I89" s="4" t="str">
        <f>+IFERROR(VLOOKUP(J89,Indexes!$E$2:$F$8,2,0),"")</f>
        <v/>
      </c>
      <c r="J89" s="5"/>
      <c r="K89" s="6" t="e">
        <f t="shared" si="1"/>
        <v>#VALUE!</v>
      </c>
      <c r="L89" s="2"/>
      <c r="M89" s="2"/>
      <c r="N89" s="2"/>
      <c r="O89" s="4" t="str">
        <f>IFERROR(VLOOKUP(P89,#REF!,2,0),"")</f>
        <v/>
      </c>
      <c r="P89" s="5"/>
      <c r="Q89" s="4" t="str">
        <f>+IFERROR(VLOOKUP(R89,#REF!,2,0),"")</f>
        <v/>
      </c>
      <c r="R89" s="5"/>
      <c r="S89" s="4" t="str">
        <f>+IFERROR(VLOOKUP(T89,#REF!,2,0),"")</f>
        <v/>
      </c>
      <c r="T89" s="5"/>
      <c r="U89" s="6" t="str">
        <f>IFERROR((VLOOKUP(P89,#REF!,2,0)*VLOOKUP(R89,#REF!,2,0)*VLOOKUP(T89,#REF!,2,0)),"")</f>
        <v/>
      </c>
    </row>
    <row r="90" spans="1:21" ht="15" x14ac:dyDescent="0.25">
      <c r="A90" s="2"/>
      <c r="B90" s="2"/>
      <c r="C90" s="2"/>
      <c r="D90" s="2"/>
      <c r="E90" s="4" t="str">
        <f>IFERROR(+VLOOKUP(F90,Indexes!$A$2:$B$8,2,0),"")</f>
        <v/>
      </c>
      <c r="F90" s="5"/>
      <c r="G90" s="4" t="str">
        <f>+IFERROR(VLOOKUP(H90,Indexes!$C$2:$D$8,2,0),"")</f>
        <v/>
      </c>
      <c r="H90" s="5"/>
      <c r="I90" s="4" t="str">
        <f>+IFERROR(VLOOKUP(J90,Indexes!$E$2:$F$8,2,0),"")</f>
        <v/>
      </c>
      <c r="J90" s="5"/>
      <c r="K90" s="6" t="e">
        <f t="shared" si="1"/>
        <v>#VALUE!</v>
      </c>
      <c r="L90" s="2"/>
      <c r="M90" s="2"/>
      <c r="N90" s="2"/>
      <c r="O90" s="4" t="str">
        <f>IFERROR(VLOOKUP(P90,#REF!,2,0),"")</f>
        <v/>
      </c>
      <c r="P90" s="5"/>
      <c r="Q90" s="4" t="str">
        <f>+IFERROR(VLOOKUP(R90,#REF!,2,0),"")</f>
        <v/>
      </c>
      <c r="R90" s="5"/>
      <c r="S90" s="4" t="str">
        <f>+IFERROR(VLOOKUP(T90,#REF!,2,0),"")</f>
        <v/>
      </c>
      <c r="T90" s="5"/>
      <c r="U90" s="6" t="str">
        <f>IFERROR((VLOOKUP(P90,#REF!,2,0)*VLOOKUP(R90,#REF!,2,0)*VLOOKUP(T90,#REF!,2,0)),"")</f>
        <v/>
      </c>
    </row>
    <row r="91" spans="1:21" ht="15" x14ac:dyDescent="0.25">
      <c r="A91" s="2"/>
      <c r="B91" s="2"/>
      <c r="C91" s="2"/>
      <c r="D91" s="2"/>
      <c r="E91" s="4" t="str">
        <f>IFERROR(+VLOOKUP(F91,Indexes!$A$2:$B$8,2,0),"")</f>
        <v/>
      </c>
      <c r="F91" s="5"/>
      <c r="G91" s="4" t="str">
        <f>+IFERROR(VLOOKUP(H91,Indexes!$C$2:$D$8,2,0),"")</f>
        <v/>
      </c>
      <c r="H91" s="5"/>
      <c r="I91" s="4" t="str">
        <f>+IFERROR(VLOOKUP(J91,Indexes!$E$2:$F$8,2,0),"")</f>
        <v/>
      </c>
      <c r="J91" s="5"/>
      <c r="K91" s="6" t="e">
        <f t="shared" si="1"/>
        <v>#VALUE!</v>
      </c>
      <c r="L91" s="2"/>
      <c r="M91" s="2"/>
      <c r="N91" s="2"/>
      <c r="O91" s="4" t="str">
        <f>IFERROR(VLOOKUP(P91,#REF!,2,0),"")</f>
        <v/>
      </c>
      <c r="P91" s="5"/>
      <c r="Q91" s="4" t="str">
        <f>+IFERROR(VLOOKUP(R91,#REF!,2,0),"")</f>
        <v/>
      </c>
      <c r="R91" s="5"/>
      <c r="S91" s="4" t="str">
        <f>+IFERROR(VLOOKUP(T91,#REF!,2,0),"")</f>
        <v/>
      </c>
      <c r="T91" s="5"/>
      <c r="U91" s="6" t="str">
        <f>IFERROR((VLOOKUP(P91,#REF!,2,0)*VLOOKUP(R91,#REF!,2,0)*VLOOKUP(T91,#REF!,2,0)),"")</f>
        <v/>
      </c>
    </row>
    <row r="92" spans="1:21" ht="15" x14ac:dyDescent="0.25">
      <c r="A92" s="2"/>
      <c r="B92" s="2"/>
      <c r="C92" s="2"/>
      <c r="D92" s="2"/>
      <c r="E92" s="4" t="str">
        <f>IFERROR(+VLOOKUP(F92,Indexes!$A$2:$B$8,2,0),"")</f>
        <v/>
      </c>
      <c r="F92" s="5"/>
      <c r="G92" s="4" t="str">
        <f>+IFERROR(VLOOKUP(H92,Indexes!$C$2:$D$8,2,0),"")</f>
        <v/>
      </c>
      <c r="H92" s="5"/>
      <c r="I92" s="4" t="str">
        <f>+IFERROR(VLOOKUP(J92,Indexes!$E$2:$F$8,2,0),"")</f>
        <v/>
      </c>
      <c r="J92" s="5"/>
      <c r="K92" s="6" t="e">
        <f t="shared" si="1"/>
        <v>#VALUE!</v>
      </c>
      <c r="L92" s="2"/>
      <c r="M92" s="2"/>
      <c r="N92" s="2"/>
      <c r="O92" s="4" t="str">
        <f>IFERROR(VLOOKUP(P92,#REF!,2,0),"")</f>
        <v/>
      </c>
      <c r="P92" s="5"/>
      <c r="Q92" s="4" t="str">
        <f>+IFERROR(VLOOKUP(R92,#REF!,2,0),"")</f>
        <v/>
      </c>
      <c r="R92" s="5"/>
      <c r="S92" s="4" t="str">
        <f>+IFERROR(VLOOKUP(T92,#REF!,2,0),"")</f>
        <v/>
      </c>
      <c r="T92" s="5"/>
      <c r="U92" s="6" t="str">
        <f>IFERROR((VLOOKUP(P92,#REF!,2,0)*VLOOKUP(R92,#REF!,2,0)*VLOOKUP(T92,#REF!,2,0)),"")</f>
        <v/>
      </c>
    </row>
    <row r="93" spans="1:21" ht="15" x14ac:dyDescent="0.25">
      <c r="A93" s="2"/>
      <c r="B93" s="2"/>
      <c r="C93" s="2"/>
      <c r="D93" s="2"/>
      <c r="E93" s="4" t="str">
        <f>IFERROR(+VLOOKUP(F93,Indexes!$A$2:$B$8,2,0),"")</f>
        <v/>
      </c>
      <c r="F93" s="5"/>
      <c r="G93" s="4" t="str">
        <f>+IFERROR(VLOOKUP(H93,Indexes!$C$2:$D$8,2,0),"")</f>
        <v/>
      </c>
      <c r="H93" s="5"/>
      <c r="I93" s="4" t="str">
        <f>+IFERROR(VLOOKUP(J93,Indexes!$E$2:$F$8,2,0),"")</f>
        <v/>
      </c>
      <c r="J93" s="5"/>
      <c r="K93" s="6" t="e">
        <f t="shared" si="1"/>
        <v>#VALUE!</v>
      </c>
      <c r="L93" s="2"/>
      <c r="M93" s="2"/>
      <c r="N93" s="2"/>
      <c r="O93" s="4" t="str">
        <f>IFERROR(VLOOKUP(P93,#REF!,2,0),"")</f>
        <v/>
      </c>
      <c r="P93" s="5"/>
      <c r="Q93" s="4" t="str">
        <f>+IFERROR(VLOOKUP(R93,#REF!,2,0),"")</f>
        <v/>
      </c>
      <c r="R93" s="5"/>
      <c r="S93" s="4" t="str">
        <f>+IFERROR(VLOOKUP(T93,#REF!,2,0),"")</f>
        <v/>
      </c>
      <c r="T93" s="5"/>
      <c r="U93" s="6" t="str">
        <f>IFERROR((VLOOKUP(P93,#REF!,2,0)*VLOOKUP(R93,#REF!,2,0)*VLOOKUP(T93,#REF!,2,0)),"")</f>
        <v/>
      </c>
    </row>
    <row r="94" spans="1:21" ht="15" x14ac:dyDescent="0.25">
      <c r="A94" s="2"/>
      <c r="B94" s="2"/>
      <c r="C94" s="2"/>
      <c r="D94" s="2"/>
      <c r="E94" s="4" t="str">
        <f>IFERROR(+VLOOKUP(F94,Indexes!$A$2:$B$8,2,0),"")</f>
        <v/>
      </c>
      <c r="F94" s="5"/>
      <c r="G94" s="4" t="str">
        <f>+IFERROR(VLOOKUP(H94,Indexes!$C$2:$D$8,2,0),"")</f>
        <v/>
      </c>
      <c r="H94" s="5"/>
      <c r="I94" s="4" t="str">
        <f>+IFERROR(VLOOKUP(J94,Indexes!$E$2:$F$8,2,0),"")</f>
        <v/>
      </c>
      <c r="J94" s="5"/>
      <c r="K94" s="6" t="e">
        <f t="shared" si="1"/>
        <v>#VALUE!</v>
      </c>
      <c r="L94" s="2"/>
      <c r="M94" s="2"/>
      <c r="N94" s="2"/>
      <c r="O94" s="4" t="str">
        <f>IFERROR(VLOOKUP(P94,#REF!,2,0),"")</f>
        <v/>
      </c>
      <c r="P94" s="5"/>
      <c r="Q94" s="4" t="str">
        <f>+IFERROR(VLOOKUP(R94,#REF!,2,0),"")</f>
        <v/>
      </c>
      <c r="R94" s="5"/>
      <c r="S94" s="4" t="str">
        <f>+IFERROR(VLOOKUP(T94,#REF!,2,0),"")</f>
        <v/>
      </c>
      <c r="T94" s="5"/>
      <c r="U94" s="6" t="str">
        <f>IFERROR((VLOOKUP(P94,#REF!,2,0)*VLOOKUP(R94,#REF!,2,0)*VLOOKUP(T94,#REF!,2,0)),"")</f>
        <v/>
      </c>
    </row>
    <row r="95" spans="1:21" ht="15" x14ac:dyDescent="0.25">
      <c r="A95" s="2"/>
      <c r="B95" s="2"/>
      <c r="C95" s="2"/>
      <c r="D95" s="2"/>
      <c r="E95" s="4" t="str">
        <f>IFERROR(+VLOOKUP(F95,Indexes!$A$2:$B$8,2,0),"")</f>
        <v/>
      </c>
      <c r="F95" s="5"/>
      <c r="G95" s="4" t="str">
        <f>+IFERROR(VLOOKUP(H95,Indexes!$C$2:$D$8,2,0),"")</f>
        <v/>
      </c>
      <c r="H95" s="5"/>
      <c r="I95" s="4" t="str">
        <f>+IFERROR(VLOOKUP(J95,Indexes!$E$2:$F$8,2,0),"")</f>
        <v/>
      </c>
      <c r="J95" s="5"/>
      <c r="K95" s="6" t="e">
        <f t="shared" si="1"/>
        <v>#VALUE!</v>
      </c>
      <c r="L95" s="2"/>
      <c r="M95" s="2"/>
      <c r="N95" s="2"/>
      <c r="O95" s="4" t="str">
        <f>IFERROR(VLOOKUP(P95,#REF!,2,0),"")</f>
        <v/>
      </c>
      <c r="P95" s="5"/>
      <c r="Q95" s="4" t="str">
        <f>+IFERROR(VLOOKUP(R95,#REF!,2,0),"")</f>
        <v/>
      </c>
      <c r="R95" s="5"/>
      <c r="S95" s="4" t="str">
        <f>+IFERROR(VLOOKUP(T95,#REF!,2,0),"")</f>
        <v/>
      </c>
      <c r="T95" s="5"/>
      <c r="U95" s="6" t="str">
        <f>IFERROR((VLOOKUP(P95,#REF!,2,0)*VLOOKUP(R95,#REF!,2,0)*VLOOKUP(T95,#REF!,2,0)),"")</f>
        <v/>
      </c>
    </row>
    <row r="96" spans="1:21" ht="15" x14ac:dyDescent="0.25">
      <c r="A96" s="2"/>
      <c r="B96" s="2"/>
      <c r="C96" s="2"/>
      <c r="D96" s="2"/>
      <c r="E96" s="4" t="str">
        <f>IFERROR(+VLOOKUP(F96,Indexes!$A$2:$B$8,2,0),"")</f>
        <v/>
      </c>
      <c r="F96" s="5"/>
      <c r="G96" s="4" t="str">
        <f>+IFERROR(VLOOKUP(H96,Indexes!$C$2:$D$8,2,0),"")</f>
        <v/>
      </c>
      <c r="H96" s="5"/>
      <c r="I96" s="4" t="str">
        <f>+IFERROR(VLOOKUP(J96,Indexes!$E$2:$F$8,2,0),"")</f>
        <v/>
      </c>
      <c r="J96" s="5"/>
      <c r="K96" s="6" t="e">
        <f t="shared" si="1"/>
        <v>#VALUE!</v>
      </c>
      <c r="L96" s="2"/>
      <c r="M96" s="2"/>
      <c r="N96" s="2"/>
      <c r="O96" s="4" t="str">
        <f>IFERROR(VLOOKUP(P96,#REF!,2,0),"")</f>
        <v/>
      </c>
      <c r="P96" s="5"/>
      <c r="Q96" s="4" t="str">
        <f>+IFERROR(VLOOKUP(R96,#REF!,2,0),"")</f>
        <v/>
      </c>
      <c r="R96" s="5"/>
      <c r="S96" s="4" t="str">
        <f>+IFERROR(VLOOKUP(T96,#REF!,2,0),"")</f>
        <v/>
      </c>
      <c r="T96" s="5"/>
      <c r="U96" s="6" t="str">
        <f>IFERROR((VLOOKUP(P96,#REF!,2,0)*VLOOKUP(R96,#REF!,2,0)*VLOOKUP(T96,#REF!,2,0)),"")</f>
        <v/>
      </c>
    </row>
    <row r="97" spans="1:21" ht="15" x14ac:dyDescent="0.25">
      <c r="A97" s="2"/>
      <c r="B97" s="2"/>
      <c r="C97" s="2"/>
      <c r="D97" s="2"/>
      <c r="E97" s="4" t="str">
        <f>IFERROR(+VLOOKUP(F97,Indexes!$A$2:$B$8,2,0),"")</f>
        <v/>
      </c>
      <c r="F97" s="5"/>
      <c r="G97" s="4" t="str">
        <f>+IFERROR(VLOOKUP(H97,Indexes!$C$2:$D$8,2,0),"")</f>
        <v/>
      </c>
      <c r="H97" s="5"/>
      <c r="I97" s="4" t="str">
        <f>+IFERROR(VLOOKUP(J97,Indexes!$E$2:$F$8,2,0),"")</f>
        <v/>
      </c>
      <c r="J97" s="5"/>
      <c r="K97" s="6" t="e">
        <f t="shared" si="1"/>
        <v>#VALUE!</v>
      </c>
      <c r="L97" s="2"/>
      <c r="M97" s="2"/>
      <c r="N97" s="2"/>
      <c r="O97" s="4" t="str">
        <f>IFERROR(VLOOKUP(P97,#REF!,2,0),"")</f>
        <v/>
      </c>
      <c r="P97" s="5"/>
      <c r="Q97" s="4" t="str">
        <f>+IFERROR(VLOOKUP(R97,#REF!,2,0),"")</f>
        <v/>
      </c>
      <c r="R97" s="5"/>
      <c r="S97" s="4" t="str">
        <f>+IFERROR(VLOOKUP(T97,#REF!,2,0),"")</f>
        <v/>
      </c>
      <c r="T97" s="5"/>
      <c r="U97" s="6" t="str">
        <f>IFERROR((VLOOKUP(P97,#REF!,2,0)*VLOOKUP(R97,#REF!,2,0)*VLOOKUP(T97,#REF!,2,0)),"")</f>
        <v/>
      </c>
    </row>
    <row r="98" spans="1:21" ht="15" x14ac:dyDescent="0.25">
      <c r="A98" s="2"/>
      <c r="B98" s="2"/>
      <c r="C98" s="2"/>
      <c r="D98" s="2"/>
      <c r="E98" s="4" t="str">
        <f>IFERROR(+VLOOKUP(F98,Indexes!$A$2:$B$8,2,0),"")</f>
        <v/>
      </c>
      <c r="F98" s="5"/>
      <c r="G98" s="4" t="str">
        <f>+IFERROR(VLOOKUP(H98,Indexes!$C$2:$D$8,2,0),"")</f>
        <v/>
      </c>
      <c r="H98" s="5"/>
      <c r="I98" s="4" t="str">
        <f>+IFERROR(VLOOKUP(J98,Indexes!$E$2:$F$8,2,0),"")</f>
        <v/>
      </c>
      <c r="J98" s="5"/>
      <c r="K98" s="6" t="e">
        <f t="shared" si="1"/>
        <v>#VALUE!</v>
      </c>
      <c r="L98" s="2"/>
      <c r="M98" s="2"/>
      <c r="N98" s="2"/>
      <c r="O98" s="4" t="str">
        <f>IFERROR(VLOOKUP(P98,#REF!,2,0),"")</f>
        <v/>
      </c>
      <c r="P98" s="5"/>
      <c r="Q98" s="4" t="str">
        <f>+IFERROR(VLOOKUP(R98,#REF!,2,0),"")</f>
        <v/>
      </c>
      <c r="R98" s="5"/>
      <c r="S98" s="4" t="str">
        <f>+IFERROR(VLOOKUP(T98,#REF!,2,0),"")</f>
        <v/>
      </c>
      <c r="T98" s="5"/>
      <c r="U98" s="6" t="str">
        <f>IFERROR((VLOOKUP(P98,#REF!,2,0)*VLOOKUP(R98,#REF!,2,0)*VLOOKUP(T98,#REF!,2,0)),"")</f>
        <v/>
      </c>
    </row>
    <row r="99" spans="1:21" ht="15" x14ac:dyDescent="0.25">
      <c r="A99" s="2"/>
      <c r="B99" s="2"/>
      <c r="C99" s="2"/>
      <c r="D99" s="2"/>
      <c r="E99" s="4" t="str">
        <f>IFERROR(+VLOOKUP(F99,Indexes!$A$2:$B$8,2,0),"")</f>
        <v/>
      </c>
      <c r="F99" s="5"/>
      <c r="G99" s="4" t="str">
        <f>+IFERROR(VLOOKUP(H99,Indexes!$C$2:$D$8,2,0),"")</f>
        <v/>
      </c>
      <c r="H99" s="5"/>
      <c r="I99" s="4" t="str">
        <f>+IFERROR(VLOOKUP(J99,Indexes!$E$2:$F$8,2,0),"")</f>
        <v/>
      </c>
      <c r="J99" s="5"/>
      <c r="K99" s="6" t="e">
        <f t="shared" si="1"/>
        <v>#VALUE!</v>
      </c>
      <c r="L99" s="2"/>
      <c r="M99" s="2"/>
      <c r="N99" s="2"/>
      <c r="O99" s="4" t="str">
        <f>IFERROR(VLOOKUP(P99,#REF!,2,0),"")</f>
        <v/>
      </c>
      <c r="P99" s="5"/>
      <c r="Q99" s="4" t="str">
        <f>+IFERROR(VLOOKUP(R99,#REF!,2,0),"")</f>
        <v/>
      </c>
      <c r="R99" s="5"/>
      <c r="S99" s="4" t="str">
        <f>+IFERROR(VLOOKUP(T99,#REF!,2,0),"")</f>
        <v/>
      </c>
      <c r="T99" s="5"/>
      <c r="U99" s="6" t="str">
        <f>IFERROR((VLOOKUP(P99,#REF!,2,0)*VLOOKUP(R99,#REF!,2,0)*VLOOKUP(T99,#REF!,2,0)),"")</f>
        <v/>
      </c>
    </row>
    <row r="100" spans="1:21" ht="15" x14ac:dyDescent="0.25">
      <c r="A100" s="2"/>
      <c r="B100" s="2"/>
      <c r="C100" s="2"/>
      <c r="D100" s="2"/>
      <c r="E100" s="4" t="str">
        <f>IFERROR(+VLOOKUP(F100,Indexes!$A$2:$B$8,2,0),"")</f>
        <v/>
      </c>
      <c r="F100" s="5"/>
      <c r="G100" s="4" t="str">
        <f>+IFERROR(VLOOKUP(H100,Indexes!$C$2:$D$8,2,0),"")</f>
        <v/>
      </c>
      <c r="H100" s="5"/>
      <c r="I100" s="4" t="str">
        <f>+IFERROR(VLOOKUP(J100,Indexes!$E$2:$F$8,2,0),"")</f>
        <v/>
      </c>
      <c r="J100" s="5"/>
      <c r="K100" s="6" t="e">
        <f t="shared" si="1"/>
        <v>#VALUE!</v>
      </c>
      <c r="L100" s="2"/>
      <c r="M100" s="2"/>
      <c r="N100" s="2"/>
      <c r="O100" s="4" t="str">
        <f>IFERROR(VLOOKUP(P100,#REF!,2,0),"")</f>
        <v/>
      </c>
      <c r="P100" s="5"/>
      <c r="Q100" s="4" t="str">
        <f>+IFERROR(VLOOKUP(R100,#REF!,2,0),"")</f>
        <v/>
      </c>
      <c r="R100" s="5"/>
      <c r="S100" s="4" t="str">
        <f>+IFERROR(VLOOKUP(T100,#REF!,2,0),"")</f>
        <v/>
      </c>
      <c r="T100" s="5"/>
      <c r="U100" s="6" t="str">
        <f>IFERROR((VLOOKUP(P100,#REF!,2,0)*VLOOKUP(R100,#REF!,2,0)*VLOOKUP(T100,#REF!,2,0)),"")</f>
        <v/>
      </c>
    </row>
    <row r="101" spans="1:21" ht="15" x14ac:dyDescent="0.25">
      <c r="A101" s="2"/>
      <c r="B101" s="2"/>
      <c r="C101" s="2"/>
      <c r="D101" s="2"/>
      <c r="E101" s="4" t="str">
        <f>IFERROR(+VLOOKUP(F101,Indexes!$A$2:$B$8,2,0),"")</f>
        <v/>
      </c>
      <c r="F101" s="5"/>
      <c r="G101" s="4" t="str">
        <f>+IFERROR(VLOOKUP(H101,Indexes!$C$2:$D$8,2,0),"")</f>
        <v/>
      </c>
      <c r="H101" s="5"/>
      <c r="I101" s="4" t="str">
        <f>+IFERROR(VLOOKUP(J101,Indexes!$E$2:$F$8,2,0),"")</f>
        <v/>
      </c>
      <c r="J101" s="5"/>
      <c r="K101" s="6" t="e">
        <f t="shared" si="1"/>
        <v>#VALUE!</v>
      </c>
      <c r="L101" s="2"/>
      <c r="M101" s="2"/>
      <c r="N101" s="2"/>
      <c r="O101" s="4" t="str">
        <f>IFERROR(VLOOKUP(P101,#REF!,2,0),"")</f>
        <v/>
      </c>
      <c r="P101" s="5"/>
      <c r="Q101" s="4" t="str">
        <f>+IFERROR(VLOOKUP(R101,#REF!,2,0),"")</f>
        <v/>
      </c>
      <c r="R101" s="5"/>
      <c r="S101" s="4" t="str">
        <f>+IFERROR(VLOOKUP(T101,#REF!,2,0),"")</f>
        <v/>
      </c>
      <c r="T101" s="5"/>
      <c r="U101" s="6" t="str">
        <f>IFERROR((VLOOKUP(P101,#REF!,2,0)*VLOOKUP(R101,#REF!,2,0)*VLOOKUP(T101,#REF!,2,0)),"")</f>
        <v/>
      </c>
    </row>
    <row r="102" spans="1:21" ht="15" x14ac:dyDescent="0.25">
      <c r="A102" s="2"/>
      <c r="B102" s="2"/>
      <c r="C102" s="2"/>
      <c r="D102" s="2"/>
      <c r="E102" s="4" t="str">
        <f>IFERROR(+VLOOKUP(F102,Indexes!$A$2:$B$8,2,0),"")</f>
        <v/>
      </c>
      <c r="F102" s="5"/>
      <c r="G102" s="4" t="str">
        <f>+IFERROR(VLOOKUP(H102,Indexes!$C$2:$D$8,2,0),"")</f>
        <v/>
      </c>
      <c r="H102" s="5"/>
      <c r="I102" s="4" t="str">
        <f>+IFERROR(VLOOKUP(J102,Indexes!$E$2:$F$8,2,0),"")</f>
        <v/>
      </c>
      <c r="J102" s="5"/>
      <c r="K102" s="6" t="e">
        <f t="shared" si="1"/>
        <v>#VALUE!</v>
      </c>
      <c r="L102" s="2"/>
      <c r="M102" s="2"/>
      <c r="N102" s="2"/>
      <c r="O102" s="4" t="str">
        <f>IFERROR(VLOOKUP(P102,#REF!,2,0),"")</f>
        <v/>
      </c>
      <c r="P102" s="5"/>
      <c r="Q102" s="4" t="str">
        <f>+IFERROR(VLOOKUP(R102,#REF!,2,0),"")</f>
        <v/>
      </c>
      <c r="R102" s="5"/>
      <c r="S102" s="4" t="str">
        <f>+IFERROR(VLOOKUP(T102,#REF!,2,0),"")</f>
        <v/>
      </c>
      <c r="T102" s="5"/>
      <c r="U102" s="6" t="str">
        <f>IFERROR((VLOOKUP(P102,#REF!,2,0)*VLOOKUP(R102,#REF!,2,0)*VLOOKUP(T102,#REF!,2,0)),"")</f>
        <v/>
      </c>
    </row>
    <row r="103" spans="1:21" ht="15" x14ac:dyDescent="0.25">
      <c r="A103" s="2"/>
      <c r="B103" s="2"/>
      <c r="C103" s="2"/>
      <c r="D103" s="2"/>
      <c r="E103" s="4" t="str">
        <f>IFERROR(+VLOOKUP(F103,Indexes!$A$2:$B$8,2,0),"")</f>
        <v/>
      </c>
      <c r="F103" s="5"/>
      <c r="G103" s="4" t="str">
        <f>+IFERROR(VLOOKUP(H103,Indexes!$C$2:$D$8,2,0),"")</f>
        <v/>
      </c>
      <c r="H103" s="5"/>
      <c r="I103" s="4" t="str">
        <f>+IFERROR(VLOOKUP(J103,Indexes!$E$2:$F$8,2,0),"")</f>
        <v/>
      </c>
      <c r="J103" s="5"/>
      <c r="K103" s="6" t="e">
        <f t="shared" si="1"/>
        <v>#VALUE!</v>
      </c>
      <c r="L103" s="2"/>
      <c r="M103" s="2"/>
      <c r="N103" s="2"/>
      <c r="O103" s="4" t="str">
        <f>IFERROR(VLOOKUP(P103,#REF!,2,0),"")</f>
        <v/>
      </c>
      <c r="P103" s="5"/>
      <c r="Q103" s="4" t="str">
        <f>+IFERROR(VLOOKUP(R103,#REF!,2,0),"")</f>
        <v/>
      </c>
      <c r="R103" s="5"/>
      <c r="S103" s="4" t="str">
        <f>+IFERROR(VLOOKUP(T103,#REF!,2,0),"")</f>
        <v/>
      </c>
      <c r="T103" s="5"/>
      <c r="U103" s="6" t="str">
        <f>IFERROR((VLOOKUP(P103,#REF!,2,0)*VLOOKUP(R103,#REF!,2,0)*VLOOKUP(T103,#REF!,2,0)),"")</f>
        <v/>
      </c>
    </row>
    <row r="104" spans="1:21" ht="15" x14ac:dyDescent="0.25">
      <c r="A104" s="2"/>
      <c r="B104" s="2"/>
      <c r="C104" s="2"/>
      <c r="D104" s="2"/>
      <c r="E104" s="4" t="str">
        <f>IFERROR(+VLOOKUP(F104,Indexes!$A$2:$B$8,2,0),"")</f>
        <v/>
      </c>
      <c r="F104" s="5"/>
      <c r="G104" s="4" t="str">
        <f>+IFERROR(VLOOKUP(H104,Indexes!$C$2:$D$8,2,0),"")</f>
        <v/>
      </c>
      <c r="H104" s="5"/>
      <c r="I104" s="4" t="str">
        <f>+IFERROR(VLOOKUP(J104,Indexes!$E$2:$F$8,2,0),"")</f>
        <v/>
      </c>
      <c r="J104" s="5"/>
      <c r="K104" s="6" t="e">
        <f t="shared" si="1"/>
        <v>#VALUE!</v>
      </c>
      <c r="L104" s="2"/>
      <c r="M104" s="2"/>
      <c r="N104" s="2"/>
      <c r="O104" s="4" t="str">
        <f>IFERROR(VLOOKUP(P104,#REF!,2,0),"")</f>
        <v/>
      </c>
      <c r="P104" s="5"/>
      <c r="Q104" s="4" t="str">
        <f>+IFERROR(VLOOKUP(R104,#REF!,2,0),"")</f>
        <v/>
      </c>
      <c r="R104" s="5"/>
      <c r="S104" s="4" t="str">
        <f>+IFERROR(VLOOKUP(T104,#REF!,2,0),"")</f>
        <v/>
      </c>
      <c r="T104" s="5"/>
      <c r="U104" s="6" t="str">
        <f>IFERROR((VLOOKUP(P104,#REF!,2,0)*VLOOKUP(R104,#REF!,2,0)*VLOOKUP(T104,#REF!,2,0)),"")</f>
        <v/>
      </c>
    </row>
    <row r="105" spans="1:21" ht="15" x14ac:dyDescent="0.25">
      <c r="A105" s="2"/>
      <c r="B105" s="2"/>
      <c r="C105" s="2"/>
      <c r="D105" s="2"/>
      <c r="E105" s="4" t="str">
        <f>IFERROR(+VLOOKUP(F105,Indexes!$A$2:$B$8,2,0),"")</f>
        <v/>
      </c>
      <c r="F105" s="5"/>
      <c r="G105" s="4" t="str">
        <f>+IFERROR(VLOOKUP(H105,Indexes!$C$2:$D$8,2,0),"")</f>
        <v/>
      </c>
      <c r="H105" s="5"/>
      <c r="I105" s="4" t="str">
        <f>+IFERROR(VLOOKUP(J105,Indexes!$E$2:$F$8,2,0),"")</f>
        <v/>
      </c>
      <c r="J105" s="5"/>
      <c r="K105" s="6" t="e">
        <f t="shared" si="1"/>
        <v>#VALUE!</v>
      </c>
      <c r="L105" s="2"/>
      <c r="M105" s="2"/>
      <c r="N105" s="2"/>
      <c r="O105" s="4" t="str">
        <f>IFERROR(VLOOKUP(P105,#REF!,2,0),"")</f>
        <v/>
      </c>
      <c r="P105" s="5"/>
      <c r="Q105" s="4" t="str">
        <f>+IFERROR(VLOOKUP(R105,#REF!,2,0),"")</f>
        <v/>
      </c>
      <c r="R105" s="5"/>
      <c r="S105" s="4" t="str">
        <f>+IFERROR(VLOOKUP(T105,#REF!,2,0),"")</f>
        <v/>
      </c>
      <c r="T105" s="5"/>
      <c r="U105" s="6" t="str">
        <f>IFERROR((VLOOKUP(P105,#REF!,2,0)*VLOOKUP(R105,#REF!,2,0)*VLOOKUP(T105,#REF!,2,0)),"")</f>
        <v/>
      </c>
    </row>
    <row r="106" spans="1:21" ht="15" x14ac:dyDescent="0.25">
      <c r="A106" s="2"/>
      <c r="B106" s="2"/>
      <c r="C106" s="2"/>
      <c r="D106" s="2"/>
      <c r="E106" s="4" t="str">
        <f>IFERROR(+VLOOKUP(F106,Indexes!$A$2:$B$8,2,0),"")</f>
        <v/>
      </c>
      <c r="F106" s="5"/>
      <c r="G106" s="4" t="str">
        <f>+IFERROR(VLOOKUP(H106,Indexes!$C$2:$D$8,2,0),"")</f>
        <v/>
      </c>
      <c r="H106" s="5"/>
      <c r="I106" s="4" t="str">
        <f>+IFERROR(VLOOKUP(J106,Indexes!$E$2:$F$8,2,0),"")</f>
        <v/>
      </c>
      <c r="J106" s="5"/>
      <c r="K106" s="6" t="e">
        <f t="shared" si="1"/>
        <v>#VALUE!</v>
      </c>
      <c r="L106" s="2"/>
      <c r="M106" s="2"/>
      <c r="N106" s="2"/>
      <c r="O106" s="4" t="str">
        <f>IFERROR(VLOOKUP(P106,#REF!,2,0),"")</f>
        <v/>
      </c>
      <c r="P106" s="5"/>
      <c r="Q106" s="4" t="str">
        <f>+IFERROR(VLOOKUP(R106,#REF!,2,0),"")</f>
        <v/>
      </c>
      <c r="R106" s="5"/>
      <c r="S106" s="4" t="str">
        <f>+IFERROR(VLOOKUP(T106,#REF!,2,0),"")</f>
        <v/>
      </c>
      <c r="T106" s="5"/>
      <c r="U106" s="6" t="str">
        <f>IFERROR((VLOOKUP(P106,#REF!,2,0)*VLOOKUP(R106,#REF!,2,0)*VLOOKUP(T106,#REF!,2,0)),"")</f>
        <v/>
      </c>
    </row>
    <row r="107" spans="1:21" ht="15" x14ac:dyDescent="0.25">
      <c r="A107" s="2"/>
      <c r="B107" s="2"/>
      <c r="C107" s="2"/>
      <c r="D107" s="2"/>
      <c r="E107" s="4" t="str">
        <f>IFERROR(+VLOOKUP(F107,Indexes!$A$2:$B$8,2,0),"")</f>
        <v/>
      </c>
      <c r="F107" s="5"/>
      <c r="G107" s="4" t="str">
        <f>+IFERROR(VLOOKUP(H107,Indexes!$C$2:$D$8,2,0),"")</f>
        <v/>
      </c>
      <c r="H107" s="5"/>
      <c r="I107" s="4" t="str">
        <f>+IFERROR(VLOOKUP(J107,Indexes!$E$2:$F$8,2,0),"")</f>
        <v/>
      </c>
      <c r="J107" s="5"/>
      <c r="K107" s="6" t="e">
        <f t="shared" si="1"/>
        <v>#VALUE!</v>
      </c>
      <c r="L107" s="2"/>
      <c r="M107" s="2"/>
      <c r="N107" s="2"/>
      <c r="O107" s="4" t="str">
        <f>IFERROR(VLOOKUP(P107,#REF!,2,0),"")</f>
        <v/>
      </c>
      <c r="P107" s="5"/>
      <c r="Q107" s="4" t="str">
        <f>+IFERROR(VLOOKUP(R107,#REF!,2,0),"")</f>
        <v/>
      </c>
      <c r="R107" s="5"/>
      <c r="S107" s="4" t="str">
        <f>+IFERROR(VLOOKUP(T107,#REF!,2,0),"")</f>
        <v/>
      </c>
      <c r="T107" s="5"/>
      <c r="U107" s="6" t="str">
        <f>IFERROR((VLOOKUP(P107,#REF!,2,0)*VLOOKUP(R107,#REF!,2,0)*VLOOKUP(T107,#REF!,2,0)),"")</f>
        <v/>
      </c>
    </row>
    <row r="108" spans="1:21" ht="15" x14ac:dyDescent="0.25">
      <c r="A108" s="2"/>
      <c r="B108" s="2"/>
      <c r="C108" s="2"/>
      <c r="D108" s="2"/>
      <c r="E108" s="4" t="str">
        <f>IFERROR(+VLOOKUP(F108,Indexes!$A$2:$B$8,2,0),"")</f>
        <v/>
      </c>
      <c r="F108" s="5"/>
      <c r="G108" s="4" t="str">
        <f>+IFERROR(VLOOKUP(H108,Indexes!$C$2:$D$8,2,0),"")</f>
        <v/>
      </c>
      <c r="H108" s="5"/>
      <c r="I108" s="4" t="str">
        <f>+IFERROR(VLOOKUP(J108,Indexes!$E$2:$F$8,2,0),"")</f>
        <v/>
      </c>
      <c r="J108" s="5"/>
      <c r="K108" s="6" t="e">
        <f t="shared" si="1"/>
        <v>#VALUE!</v>
      </c>
      <c r="L108" s="2"/>
      <c r="M108" s="2"/>
      <c r="N108" s="2"/>
      <c r="O108" s="4" t="str">
        <f>IFERROR(VLOOKUP(P108,#REF!,2,0),"")</f>
        <v/>
      </c>
      <c r="P108" s="5"/>
      <c r="Q108" s="4" t="str">
        <f>+IFERROR(VLOOKUP(R108,#REF!,2,0),"")</f>
        <v/>
      </c>
      <c r="R108" s="5"/>
      <c r="S108" s="4" t="str">
        <f>+IFERROR(VLOOKUP(T108,#REF!,2,0),"")</f>
        <v/>
      </c>
      <c r="T108" s="5"/>
      <c r="U108" s="6" t="str">
        <f>IFERROR((VLOOKUP(P108,#REF!,2,0)*VLOOKUP(R108,#REF!,2,0)*VLOOKUP(T108,#REF!,2,0)),"")</f>
        <v/>
      </c>
    </row>
    <row r="109" spans="1:21" ht="15" x14ac:dyDescent="0.25">
      <c r="A109" s="2"/>
      <c r="B109" s="2"/>
      <c r="C109" s="2"/>
      <c r="D109" s="2"/>
      <c r="E109" s="4" t="str">
        <f>IFERROR(+VLOOKUP(F109,Indexes!$A$2:$B$8,2,0),"")</f>
        <v/>
      </c>
      <c r="F109" s="5"/>
      <c r="G109" s="4" t="str">
        <f>+IFERROR(VLOOKUP(H109,Indexes!$C$2:$D$8,2,0),"")</f>
        <v/>
      </c>
      <c r="H109" s="5"/>
      <c r="I109" s="4" t="str">
        <f>+IFERROR(VLOOKUP(J109,Indexes!$E$2:$F$8,2,0),"")</f>
        <v/>
      </c>
      <c r="J109" s="5"/>
      <c r="K109" s="6" t="e">
        <f t="shared" si="1"/>
        <v>#VALUE!</v>
      </c>
      <c r="L109" s="2"/>
      <c r="M109" s="2"/>
      <c r="N109" s="2"/>
      <c r="O109" s="4" t="str">
        <f>IFERROR(VLOOKUP(P109,#REF!,2,0),"")</f>
        <v/>
      </c>
      <c r="P109" s="5"/>
      <c r="Q109" s="4" t="str">
        <f>+IFERROR(VLOOKUP(R109,#REF!,2,0),"")</f>
        <v/>
      </c>
      <c r="R109" s="5"/>
      <c r="S109" s="4" t="str">
        <f>+IFERROR(VLOOKUP(T109,#REF!,2,0),"")</f>
        <v/>
      </c>
      <c r="T109" s="5"/>
      <c r="U109" s="6" t="str">
        <f>IFERROR((VLOOKUP(P109,#REF!,2,0)*VLOOKUP(R109,#REF!,2,0)*VLOOKUP(T109,#REF!,2,0)),"")</f>
        <v/>
      </c>
    </row>
    <row r="110" spans="1:21" ht="15" x14ac:dyDescent="0.25">
      <c r="A110" s="2"/>
      <c r="B110" s="2"/>
      <c r="C110" s="2"/>
      <c r="D110" s="2"/>
      <c r="E110" s="4" t="str">
        <f>IFERROR(+VLOOKUP(F110,Indexes!$A$2:$B$8,2,0),"")</f>
        <v/>
      </c>
      <c r="F110" s="5"/>
      <c r="G110" s="4" t="str">
        <f>+IFERROR(VLOOKUP(H110,Indexes!$C$2:$D$8,2,0),"")</f>
        <v/>
      </c>
      <c r="H110" s="5"/>
      <c r="I110" s="4" t="str">
        <f>+IFERROR(VLOOKUP(J110,Indexes!$E$2:$F$8,2,0),"")</f>
        <v/>
      </c>
      <c r="J110" s="5"/>
      <c r="K110" s="6" t="e">
        <f t="shared" si="1"/>
        <v>#VALUE!</v>
      </c>
      <c r="L110" s="2"/>
      <c r="M110" s="2"/>
      <c r="N110" s="2"/>
      <c r="O110" s="4" t="str">
        <f>IFERROR(VLOOKUP(P110,#REF!,2,0),"")</f>
        <v/>
      </c>
      <c r="P110" s="5"/>
      <c r="Q110" s="4" t="str">
        <f>+IFERROR(VLOOKUP(R110,#REF!,2,0),"")</f>
        <v/>
      </c>
      <c r="R110" s="5"/>
      <c r="S110" s="4" t="str">
        <f>+IFERROR(VLOOKUP(T110,#REF!,2,0),"")</f>
        <v/>
      </c>
      <c r="T110" s="5"/>
      <c r="U110" s="6" t="str">
        <f>IFERROR((VLOOKUP(P110,#REF!,2,0)*VLOOKUP(R110,#REF!,2,0)*VLOOKUP(T110,#REF!,2,0)),"")</f>
        <v/>
      </c>
    </row>
    <row r="111" spans="1:21" ht="15" x14ac:dyDescent="0.25">
      <c r="A111" s="2"/>
      <c r="B111" s="2"/>
      <c r="C111" s="2"/>
      <c r="D111" s="2"/>
      <c r="E111" s="4" t="str">
        <f>IFERROR(+VLOOKUP(F111,Indexes!$A$2:$B$8,2,0),"")</f>
        <v/>
      </c>
      <c r="F111" s="5"/>
      <c r="G111" s="4" t="str">
        <f>+IFERROR(VLOOKUP(H111,Indexes!$C$2:$D$8,2,0),"")</f>
        <v/>
      </c>
      <c r="H111" s="5"/>
      <c r="I111" s="4" t="str">
        <f>+IFERROR(VLOOKUP(J111,Indexes!$E$2:$F$8,2,0),"")</f>
        <v/>
      </c>
      <c r="J111" s="5"/>
      <c r="K111" s="6" t="e">
        <f t="shared" si="1"/>
        <v>#VALUE!</v>
      </c>
      <c r="L111" s="2"/>
      <c r="M111" s="2"/>
      <c r="N111" s="2"/>
      <c r="O111" s="4" t="str">
        <f>IFERROR(VLOOKUP(P111,#REF!,2,0),"")</f>
        <v/>
      </c>
      <c r="P111" s="5"/>
      <c r="Q111" s="4" t="str">
        <f>+IFERROR(VLOOKUP(R111,#REF!,2,0),"")</f>
        <v/>
      </c>
      <c r="R111" s="5"/>
      <c r="S111" s="4" t="str">
        <f>+IFERROR(VLOOKUP(T111,#REF!,2,0),"")</f>
        <v/>
      </c>
      <c r="T111" s="5"/>
      <c r="U111" s="6" t="str">
        <f>IFERROR((VLOOKUP(P111,#REF!,2,0)*VLOOKUP(R111,#REF!,2,0)*VLOOKUP(T111,#REF!,2,0)),"")</f>
        <v/>
      </c>
    </row>
    <row r="112" spans="1:21" ht="15" x14ac:dyDescent="0.25">
      <c r="A112" s="2"/>
      <c r="B112" s="2"/>
      <c r="C112" s="2"/>
      <c r="D112" s="2"/>
      <c r="E112" s="4" t="str">
        <f>IFERROR(+VLOOKUP(F112,Indexes!$A$2:$B$8,2,0),"")</f>
        <v/>
      </c>
      <c r="F112" s="5"/>
      <c r="G112" s="4" t="str">
        <f>+IFERROR(VLOOKUP(H112,Indexes!$C$2:$D$8,2,0),"")</f>
        <v/>
      </c>
      <c r="H112" s="5"/>
      <c r="I112" s="4" t="str">
        <f>+IFERROR(VLOOKUP(J112,Indexes!$E$2:$F$8,2,0),"")</f>
        <v/>
      </c>
      <c r="J112" s="5"/>
      <c r="K112" s="6" t="e">
        <f t="shared" si="1"/>
        <v>#VALUE!</v>
      </c>
      <c r="L112" s="2"/>
      <c r="M112" s="2"/>
      <c r="N112" s="2"/>
      <c r="O112" s="4" t="str">
        <f>IFERROR(VLOOKUP(P112,#REF!,2,0),"")</f>
        <v/>
      </c>
      <c r="P112" s="5"/>
      <c r="Q112" s="4" t="str">
        <f>+IFERROR(VLOOKUP(R112,#REF!,2,0),"")</f>
        <v/>
      </c>
      <c r="R112" s="5"/>
      <c r="S112" s="4" t="str">
        <f>+IFERROR(VLOOKUP(T112,#REF!,2,0),"")</f>
        <v/>
      </c>
      <c r="T112" s="5"/>
      <c r="U112" s="6" t="str">
        <f>IFERROR((VLOOKUP(P112,#REF!,2,0)*VLOOKUP(R112,#REF!,2,0)*VLOOKUP(T112,#REF!,2,0)),"")</f>
        <v/>
      </c>
    </row>
    <row r="113" spans="1:21" ht="15" x14ac:dyDescent="0.25">
      <c r="A113" s="2"/>
      <c r="B113" s="2"/>
      <c r="C113" s="2"/>
      <c r="D113" s="2"/>
      <c r="E113" s="4" t="str">
        <f>IFERROR(+VLOOKUP(F113,Indexes!$A$2:$B$8,2,0),"")</f>
        <v/>
      </c>
      <c r="F113" s="5"/>
      <c r="G113" s="4" t="str">
        <f>+IFERROR(VLOOKUP(H113,Indexes!$C$2:$D$8,2,0),"")</f>
        <v/>
      </c>
      <c r="H113" s="5"/>
      <c r="I113" s="4" t="str">
        <f>+IFERROR(VLOOKUP(J113,Indexes!$E$2:$F$8,2,0),"")</f>
        <v/>
      </c>
      <c r="J113" s="5"/>
      <c r="K113" s="6" t="e">
        <f t="shared" si="1"/>
        <v>#VALUE!</v>
      </c>
      <c r="L113" s="2"/>
      <c r="M113" s="2"/>
      <c r="N113" s="2"/>
      <c r="O113" s="4" t="str">
        <f>IFERROR(VLOOKUP(P113,#REF!,2,0),"")</f>
        <v/>
      </c>
      <c r="P113" s="5"/>
      <c r="Q113" s="4" t="str">
        <f>+IFERROR(VLOOKUP(R113,#REF!,2,0),"")</f>
        <v/>
      </c>
      <c r="R113" s="5"/>
      <c r="S113" s="4" t="str">
        <f>+IFERROR(VLOOKUP(T113,#REF!,2,0),"")</f>
        <v/>
      </c>
      <c r="T113" s="5"/>
      <c r="U113" s="6" t="str">
        <f>IFERROR((VLOOKUP(P113,#REF!,2,0)*VLOOKUP(R113,#REF!,2,0)*VLOOKUP(T113,#REF!,2,0)),"")</f>
        <v/>
      </c>
    </row>
    <row r="114" spans="1:21" ht="15" x14ac:dyDescent="0.25">
      <c r="A114" s="2"/>
      <c r="B114" s="2"/>
      <c r="C114" s="2"/>
      <c r="D114" s="2"/>
      <c r="E114" s="4" t="str">
        <f>IFERROR(+VLOOKUP(F114,Indexes!$A$2:$B$8,2,0),"")</f>
        <v/>
      </c>
      <c r="F114" s="5"/>
      <c r="G114" s="4" t="str">
        <f>+IFERROR(VLOOKUP(H114,Indexes!$C$2:$D$8,2,0),"")</f>
        <v/>
      </c>
      <c r="H114" s="5"/>
      <c r="I114" s="4" t="str">
        <f>+IFERROR(VLOOKUP(J114,Indexes!$E$2:$F$8,2,0),"")</f>
        <v/>
      </c>
      <c r="J114" s="5"/>
      <c r="K114" s="6" t="e">
        <f t="shared" si="1"/>
        <v>#VALUE!</v>
      </c>
      <c r="L114" s="2"/>
      <c r="M114" s="2"/>
      <c r="N114" s="2"/>
      <c r="O114" s="4" t="str">
        <f>IFERROR(VLOOKUP(P114,#REF!,2,0),"")</f>
        <v/>
      </c>
      <c r="P114" s="5"/>
      <c r="Q114" s="4" t="str">
        <f>+IFERROR(VLOOKUP(R114,#REF!,2,0),"")</f>
        <v/>
      </c>
      <c r="R114" s="5"/>
      <c r="S114" s="4" t="str">
        <f>+IFERROR(VLOOKUP(T114,#REF!,2,0),"")</f>
        <v/>
      </c>
      <c r="T114" s="5"/>
      <c r="U114" s="6" t="str">
        <f>IFERROR((VLOOKUP(P114,#REF!,2,0)*VLOOKUP(R114,#REF!,2,0)*VLOOKUP(T114,#REF!,2,0)),"")</f>
        <v/>
      </c>
    </row>
    <row r="115" spans="1:21" ht="15" x14ac:dyDescent="0.25">
      <c r="A115" s="2"/>
      <c r="B115" s="2"/>
      <c r="C115" s="2"/>
      <c r="D115" s="2"/>
      <c r="E115" s="4" t="str">
        <f>IFERROR(+VLOOKUP(F115,Indexes!$A$2:$B$8,2,0),"")</f>
        <v/>
      </c>
      <c r="F115" s="5"/>
      <c r="G115" s="4" t="str">
        <f>+IFERROR(VLOOKUP(H115,Indexes!$C$2:$D$8,2,0),"")</f>
        <v/>
      </c>
      <c r="H115" s="5"/>
      <c r="I115" s="4" t="str">
        <f>+IFERROR(VLOOKUP(J115,Indexes!$E$2:$F$8,2,0),"")</f>
        <v/>
      </c>
      <c r="J115" s="5"/>
      <c r="K115" s="6" t="e">
        <f t="shared" si="1"/>
        <v>#VALUE!</v>
      </c>
      <c r="L115" s="2"/>
      <c r="M115" s="2"/>
      <c r="N115" s="2"/>
      <c r="O115" s="4" t="str">
        <f>IFERROR(VLOOKUP(P115,#REF!,2,0),"")</f>
        <v/>
      </c>
      <c r="P115" s="5"/>
      <c r="Q115" s="4" t="str">
        <f>+IFERROR(VLOOKUP(R115,#REF!,2,0),"")</f>
        <v/>
      </c>
      <c r="R115" s="5"/>
      <c r="S115" s="4" t="str">
        <f>+IFERROR(VLOOKUP(T115,#REF!,2,0),"")</f>
        <v/>
      </c>
      <c r="T115" s="5"/>
      <c r="U115" s="6" t="str">
        <f>IFERROR((VLOOKUP(P115,#REF!,2,0)*VLOOKUP(R115,#REF!,2,0)*VLOOKUP(T115,#REF!,2,0)),"")</f>
        <v/>
      </c>
    </row>
    <row r="116" spans="1:21" ht="15" x14ac:dyDescent="0.25">
      <c r="A116" s="2"/>
      <c r="B116" s="2"/>
      <c r="C116" s="2"/>
      <c r="D116" s="2"/>
      <c r="E116" s="4" t="str">
        <f>IFERROR(+VLOOKUP(F116,Indexes!$A$2:$B$8,2,0),"")</f>
        <v/>
      </c>
      <c r="F116" s="5"/>
      <c r="G116" s="4" t="str">
        <f>+IFERROR(VLOOKUP(H116,Indexes!$C$2:$D$8,2,0),"")</f>
        <v/>
      </c>
      <c r="H116" s="5"/>
      <c r="I116" s="4" t="str">
        <f>+IFERROR(VLOOKUP(J116,Indexes!$E$2:$F$8,2,0),"")</f>
        <v/>
      </c>
      <c r="J116" s="5"/>
      <c r="K116" s="6" t="e">
        <f t="shared" si="1"/>
        <v>#VALUE!</v>
      </c>
      <c r="L116" s="2"/>
      <c r="M116" s="2"/>
      <c r="N116" s="2"/>
      <c r="O116" s="4" t="str">
        <f>IFERROR(VLOOKUP(P116,#REF!,2,0),"")</f>
        <v/>
      </c>
      <c r="P116" s="5"/>
      <c r="Q116" s="4" t="str">
        <f>+IFERROR(VLOOKUP(R116,#REF!,2,0),"")</f>
        <v/>
      </c>
      <c r="R116" s="5"/>
      <c r="S116" s="4" t="str">
        <f>+IFERROR(VLOOKUP(T116,#REF!,2,0),"")</f>
        <v/>
      </c>
      <c r="T116" s="5"/>
      <c r="U116" s="6" t="str">
        <f>IFERROR((VLOOKUP(P116,#REF!,2,0)*VLOOKUP(R116,#REF!,2,0)*VLOOKUP(T116,#REF!,2,0)),"")</f>
        <v/>
      </c>
    </row>
    <row r="117" spans="1:21" ht="15" x14ac:dyDescent="0.25">
      <c r="A117" s="2"/>
      <c r="B117" s="2"/>
      <c r="C117" s="2"/>
      <c r="D117" s="2"/>
      <c r="E117" s="4" t="str">
        <f>IFERROR(+VLOOKUP(F117,Indexes!$A$2:$B$8,2,0),"")</f>
        <v/>
      </c>
      <c r="F117" s="5"/>
      <c r="G117" s="4" t="str">
        <f>+IFERROR(VLOOKUP(H117,Indexes!$C$2:$D$8,2,0),"")</f>
        <v/>
      </c>
      <c r="H117" s="5"/>
      <c r="I117" s="4" t="str">
        <f>+IFERROR(VLOOKUP(J117,Indexes!$E$2:$F$8,2,0),"")</f>
        <v/>
      </c>
      <c r="J117" s="5"/>
      <c r="K117" s="6" t="e">
        <f t="shared" si="1"/>
        <v>#VALUE!</v>
      </c>
      <c r="L117" s="2"/>
      <c r="M117" s="2"/>
      <c r="N117" s="2"/>
      <c r="O117" s="4" t="str">
        <f>IFERROR(VLOOKUP(P117,#REF!,2,0),"")</f>
        <v/>
      </c>
      <c r="P117" s="5"/>
      <c r="Q117" s="4" t="str">
        <f>+IFERROR(VLOOKUP(R117,#REF!,2,0),"")</f>
        <v/>
      </c>
      <c r="R117" s="5"/>
      <c r="S117" s="4" t="str">
        <f>+IFERROR(VLOOKUP(T117,#REF!,2,0),"")</f>
        <v/>
      </c>
      <c r="T117" s="5"/>
      <c r="U117" s="6" t="str">
        <f>IFERROR((VLOOKUP(P117,#REF!,2,0)*VLOOKUP(R117,#REF!,2,0)*VLOOKUP(T117,#REF!,2,0)),"")</f>
        <v/>
      </c>
    </row>
    <row r="118" spans="1:21" ht="15" x14ac:dyDescent="0.25">
      <c r="A118" s="2"/>
      <c r="B118" s="2"/>
      <c r="C118" s="2"/>
      <c r="D118" s="2"/>
      <c r="E118" s="4" t="str">
        <f>IFERROR(+VLOOKUP(F118,Indexes!$A$2:$B$8,2,0),"")</f>
        <v/>
      </c>
      <c r="F118" s="5"/>
      <c r="G118" s="4" t="str">
        <f>+IFERROR(VLOOKUP(H118,Indexes!$C$2:$D$8,2,0),"")</f>
        <v/>
      </c>
      <c r="H118" s="5"/>
      <c r="I118" s="4" t="str">
        <f>+IFERROR(VLOOKUP(J118,Indexes!$E$2:$F$8,2,0),"")</f>
        <v/>
      </c>
      <c r="J118" s="5"/>
      <c r="K118" s="6" t="e">
        <f t="shared" si="1"/>
        <v>#VALUE!</v>
      </c>
      <c r="L118" s="2"/>
      <c r="M118" s="2"/>
      <c r="N118" s="2"/>
      <c r="O118" s="4" t="str">
        <f>IFERROR(VLOOKUP(P118,#REF!,2,0),"")</f>
        <v/>
      </c>
      <c r="P118" s="5"/>
      <c r="Q118" s="4" t="str">
        <f>+IFERROR(VLOOKUP(R118,#REF!,2,0),"")</f>
        <v/>
      </c>
      <c r="R118" s="5"/>
      <c r="S118" s="4" t="str">
        <f>+IFERROR(VLOOKUP(T118,#REF!,2,0),"")</f>
        <v/>
      </c>
      <c r="T118" s="5"/>
      <c r="U118" s="6" t="str">
        <f>IFERROR((VLOOKUP(P118,#REF!,2,0)*VLOOKUP(R118,#REF!,2,0)*VLOOKUP(T118,#REF!,2,0)),"")</f>
        <v/>
      </c>
    </row>
    <row r="119" spans="1:21" ht="15" x14ac:dyDescent="0.25">
      <c r="A119" s="2"/>
      <c r="B119" s="2"/>
      <c r="C119" s="2"/>
      <c r="D119" s="2"/>
      <c r="E119" s="4" t="str">
        <f>IFERROR(+VLOOKUP(F119,Indexes!$A$2:$B$8,2,0),"")</f>
        <v/>
      </c>
      <c r="F119" s="5"/>
      <c r="G119" s="4" t="str">
        <f>+IFERROR(VLOOKUP(H119,Indexes!$C$2:$D$8,2,0),"")</f>
        <v/>
      </c>
      <c r="H119" s="5"/>
      <c r="I119" s="4" t="str">
        <f>+IFERROR(VLOOKUP(J119,Indexes!$E$2:$F$8,2,0),"")</f>
        <v/>
      </c>
      <c r="J119" s="5"/>
      <c r="K119" s="6" t="e">
        <f t="shared" si="1"/>
        <v>#VALUE!</v>
      </c>
      <c r="L119" s="2"/>
      <c r="M119" s="2"/>
      <c r="N119" s="2"/>
      <c r="O119" s="4" t="str">
        <f>IFERROR(VLOOKUP(P119,#REF!,2,0),"")</f>
        <v/>
      </c>
      <c r="P119" s="5"/>
      <c r="Q119" s="4" t="str">
        <f>+IFERROR(VLOOKUP(R119,#REF!,2,0),"")</f>
        <v/>
      </c>
      <c r="R119" s="5"/>
      <c r="S119" s="4" t="str">
        <f>+IFERROR(VLOOKUP(T119,#REF!,2,0),"")</f>
        <v/>
      </c>
      <c r="T119" s="5"/>
      <c r="U119" s="6" t="str">
        <f>IFERROR((VLOOKUP(P119,#REF!,2,0)*VLOOKUP(R119,#REF!,2,0)*VLOOKUP(T119,#REF!,2,0)),"")</f>
        <v/>
      </c>
    </row>
    <row r="120" spans="1:21" ht="15" x14ac:dyDescent="0.25">
      <c r="A120" s="2"/>
      <c r="B120" s="2"/>
      <c r="C120" s="2"/>
      <c r="D120" s="2"/>
      <c r="E120" s="4" t="str">
        <f>IFERROR(+VLOOKUP(F120,Indexes!$A$2:$B$8,2,0),"")</f>
        <v/>
      </c>
      <c r="F120" s="5"/>
      <c r="G120" s="4" t="str">
        <f>+IFERROR(VLOOKUP(H120,Indexes!$C$2:$D$8,2,0),"")</f>
        <v/>
      </c>
      <c r="H120" s="5"/>
      <c r="I120" s="4" t="str">
        <f>+IFERROR(VLOOKUP(J120,Indexes!$E$2:$F$8,2,0),"")</f>
        <v/>
      </c>
      <c r="J120" s="5"/>
      <c r="K120" s="6" t="e">
        <f t="shared" si="1"/>
        <v>#VALUE!</v>
      </c>
      <c r="L120" s="2"/>
      <c r="M120" s="2"/>
      <c r="N120" s="2"/>
      <c r="O120" s="4" t="str">
        <f>IFERROR(VLOOKUP(P120,#REF!,2,0),"")</f>
        <v/>
      </c>
      <c r="P120" s="5"/>
      <c r="Q120" s="4" t="str">
        <f>+IFERROR(VLOOKUP(R120,#REF!,2,0),"")</f>
        <v/>
      </c>
      <c r="R120" s="5"/>
      <c r="S120" s="4" t="str">
        <f>+IFERROR(VLOOKUP(T120,#REF!,2,0),"")</f>
        <v/>
      </c>
      <c r="T120" s="5"/>
      <c r="U120" s="6" t="str">
        <f>IFERROR((VLOOKUP(P120,#REF!,2,0)*VLOOKUP(R120,#REF!,2,0)*VLOOKUP(T120,#REF!,2,0)),"")</f>
        <v/>
      </c>
    </row>
    <row r="121" spans="1:21" ht="15" x14ac:dyDescent="0.25">
      <c r="A121" s="2"/>
      <c r="B121" s="2"/>
      <c r="C121" s="2"/>
      <c r="D121" s="2"/>
      <c r="E121" s="4" t="str">
        <f>IFERROR(+VLOOKUP(F121,Indexes!$A$2:$B$8,2,0),"")</f>
        <v/>
      </c>
      <c r="F121" s="5"/>
      <c r="G121" s="4" t="str">
        <f>+IFERROR(VLOOKUP(H121,Indexes!$C$2:$D$8,2,0),"")</f>
        <v/>
      </c>
      <c r="H121" s="5"/>
      <c r="I121" s="4" t="str">
        <f>+IFERROR(VLOOKUP(J121,Indexes!$E$2:$F$8,2,0),"")</f>
        <v/>
      </c>
      <c r="J121" s="5"/>
      <c r="K121" s="6" t="e">
        <f t="shared" si="1"/>
        <v>#VALUE!</v>
      </c>
      <c r="L121" s="2"/>
      <c r="M121" s="2"/>
      <c r="N121" s="2"/>
      <c r="O121" s="4" t="str">
        <f>IFERROR(VLOOKUP(P121,#REF!,2,0),"")</f>
        <v/>
      </c>
      <c r="P121" s="5"/>
      <c r="Q121" s="4" t="str">
        <f>+IFERROR(VLOOKUP(R121,#REF!,2,0),"")</f>
        <v/>
      </c>
      <c r="R121" s="5"/>
      <c r="S121" s="4" t="str">
        <f>+IFERROR(VLOOKUP(T121,#REF!,2,0),"")</f>
        <v/>
      </c>
      <c r="T121" s="5"/>
      <c r="U121" s="6" t="str">
        <f>IFERROR((VLOOKUP(P121,#REF!,2,0)*VLOOKUP(R121,#REF!,2,0)*VLOOKUP(T121,#REF!,2,0)),"")</f>
        <v/>
      </c>
    </row>
    <row r="122" spans="1:21" ht="15" x14ac:dyDescent="0.25">
      <c r="A122" s="2"/>
      <c r="B122" s="2"/>
      <c r="C122" s="2"/>
      <c r="D122" s="2"/>
      <c r="E122" s="4" t="str">
        <f>IFERROR(+VLOOKUP(F122,Indexes!$A$2:$B$8,2,0),"")</f>
        <v/>
      </c>
      <c r="F122" s="5"/>
      <c r="G122" s="4" t="str">
        <f>+IFERROR(VLOOKUP(H122,Indexes!$C$2:$D$8,2,0),"")</f>
        <v/>
      </c>
      <c r="H122" s="5"/>
      <c r="I122" s="4" t="str">
        <f>+IFERROR(VLOOKUP(J122,Indexes!$E$2:$F$8,2,0),"")</f>
        <v/>
      </c>
      <c r="J122" s="5"/>
      <c r="K122" s="6" t="e">
        <f t="shared" si="1"/>
        <v>#VALUE!</v>
      </c>
      <c r="L122" s="2"/>
      <c r="M122" s="2"/>
      <c r="N122" s="2"/>
      <c r="O122" s="4" t="str">
        <f>IFERROR(VLOOKUP(P122,#REF!,2,0),"")</f>
        <v/>
      </c>
      <c r="P122" s="5"/>
      <c r="Q122" s="4" t="str">
        <f>+IFERROR(VLOOKUP(R122,#REF!,2,0),"")</f>
        <v/>
      </c>
      <c r="R122" s="5"/>
      <c r="S122" s="4" t="str">
        <f>+IFERROR(VLOOKUP(T122,#REF!,2,0),"")</f>
        <v/>
      </c>
      <c r="T122" s="5"/>
      <c r="U122" s="6" t="str">
        <f>IFERROR((VLOOKUP(P122,#REF!,2,0)*VLOOKUP(R122,#REF!,2,0)*VLOOKUP(T122,#REF!,2,0)),"")</f>
        <v/>
      </c>
    </row>
    <row r="123" spans="1:21" ht="15" x14ac:dyDescent="0.25">
      <c r="A123" s="2"/>
      <c r="B123" s="2"/>
      <c r="C123" s="2"/>
      <c r="D123" s="2"/>
      <c r="E123" s="4" t="str">
        <f>IFERROR(+VLOOKUP(F123,Indexes!$A$2:$B$8,2,0),"")</f>
        <v/>
      </c>
      <c r="F123" s="5"/>
      <c r="G123" s="4" t="str">
        <f>+IFERROR(VLOOKUP(H123,Indexes!$C$2:$D$8,2,0),"")</f>
        <v/>
      </c>
      <c r="H123" s="5"/>
      <c r="I123" s="4" t="str">
        <f>+IFERROR(VLOOKUP(J123,Indexes!$E$2:$F$8,2,0),"")</f>
        <v/>
      </c>
      <c r="J123" s="5"/>
      <c r="K123" s="6" t="e">
        <f t="shared" si="1"/>
        <v>#VALUE!</v>
      </c>
      <c r="L123" s="2"/>
      <c r="M123" s="2"/>
      <c r="N123" s="2"/>
      <c r="O123" s="4" t="str">
        <f>IFERROR(VLOOKUP(P123,#REF!,2,0),"")</f>
        <v/>
      </c>
      <c r="P123" s="5"/>
      <c r="Q123" s="4" t="str">
        <f>+IFERROR(VLOOKUP(R123,#REF!,2,0),"")</f>
        <v/>
      </c>
      <c r="R123" s="5"/>
      <c r="S123" s="4" t="str">
        <f>+IFERROR(VLOOKUP(T123,#REF!,2,0),"")</f>
        <v/>
      </c>
      <c r="T123" s="5"/>
      <c r="U123" s="6" t="str">
        <f>IFERROR((VLOOKUP(P123,#REF!,2,0)*VLOOKUP(R123,#REF!,2,0)*VLOOKUP(T123,#REF!,2,0)),"")</f>
        <v/>
      </c>
    </row>
    <row r="124" spans="1:21" ht="15" x14ac:dyDescent="0.25">
      <c r="A124" s="2"/>
      <c r="B124" s="2"/>
      <c r="C124" s="2"/>
      <c r="D124" s="2"/>
      <c r="E124" s="4" t="str">
        <f>IFERROR(+VLOOKUP(F124,Indexes!$A$2:$B$8,2,0),"")</f>
        <v/>
      </c>
      <c r="F124" s="5"/>
      <c r="G124" s="4" t="str">
        <f>+IFERROR(VLOOKUP(H124,Indexes!$C$2:$D$8,2,0),"")</f>
        <v/>
      </c>
      <c r="H124" s="5"/>
      <c r="I124" s="4" t="str">
        <f>+IFERROR(VLOOKUP(J124,Indexes!$E$2:$F$8,2,0),"")</f>
        <v/>
      </c>
      <c r="J124" s="5"/>
      <c r="K124" s="6" t="e">
        <f t="shared" si="1"/>
        <v>#VALUE!</v>
      </c>
      <c r="L124" s="2"/>
      <c r="M124" s="2"/>
      <c r="N124" s="2"/>
      <c r="O124" s="4" t="str">
        <f>IFERROR(VLOOKUP(P124,#REF!,2,0),"")</f>
        <v/>
      </c>
      <c r="P124" s="5"/>
      <c r="Q124" s="4" t="str">
        <f>+IFERROR(VLOOKUP(R124,#REF!,2,0),"")</f>
        <v/>
      </c>
      <c r="R124" s="5"/>
      <c r="S124" s="4" t="str">
        <f>+IFERROR(VLOOKUP(T124,#REF!,2,0),"")</f>
        <v/>
      </c>
      <c r="T124" s="5"/>
      <c r="U124" s="6" t="str">
        <f>IFERROR((VLOOKUP(P124,#REF!,2,0)*VLOOKUP(R124,#REF!,2,0)*VLOOKUP(T124,#REF!,2,0)),"")</f>
        <v/>
      </c>
    </row>
    <row r="125" spans="1:21" ht="15" x14ac:dyDescent="0.25">
      <c r="A125" s="2"/>
      <c r="B125" s="2"/>
      <c r="C125" s="2"/>
      <c r="D125" s="2"/>
      <c r="E125" s="4" t="str">
        <f>IFERROR(+VLOOKUP(F125,Indexes!$A$2:$B$8,2,0),"")</f>
        <v/>
      </c>
      <c r="F125" s="5"/>
      <c r="G125" s="4" t="str">
        <f>+IFERROR(VLOOKUP(H125,Indexes!$C$2:$D$8,2,0),"")</f>
        <v/>
      </c>
      <c r="H125" s="5"/>
      <c r="I125" s="4" t="str">
        <f>+IFERROR(VLOOKUP(J125,Indexes!$E$2:$F$8,2,0),"")</f>
        <v/>
      </c>
      <c r="J125" s="5"/>
      <c r="K125" s="6" t="e">
        <f t="shared" si="1"/>
        <v>#VALUE!</v>
      </c>
      <c r="L125" s="2"/>
      <c r="M125" s="2"/>
      <c r="N125" s="2"/>
      <c r="O125" s="4" t="str">
        <f>IFERROR(VLOOKUP(P125,#REF!,2,0),"")</f>
        <v/>
      </c>
      <c r="P125" s="5"/>
      <c r="Q125" s="4" t="str">
        <f>+IFERROR(VLOOKUP(R125,#REF!,2,0),"")</f>
        <v/>
      </c>
      <c r="R125" s="5"/>
      <c r="S125" s="4" t="str">
        <f>+IFERROR(VLOOKUP(T125,#REF!,2,0),"")</f>
        <v/>
      </c>
      <c r="T125" s="5"/>
      <c r="U125" s="6" t="str">
        <f>IFERROR((VLOOKUP(P125,#REF!,2,0)*VLOOKUP(R125,#REF!,2,0)*VLOOKUP(T125,#REF!,2,0)),"")</f>
        <v/>
      </c>
    </row>
    <row r="126" spans="1:21" ht="15" x14ac:dyDescent="0.25">
      <c r="A126" s="2"/>
      <c r="B126" s="2"/>
      <c r="C126" s="2"/>
      <c r="D126" s="2"/>
      <c r="E126" s="4" t="str">
        <f>IFERROR(+VLOOKUP(F126,Indexes!$A$2:$B$8,2,0),"")</f>
        <v/>
      </c>
      <c r="F126" s="5"/>
      <c r="G126" s="4" t="str">
        <f>+IFERROR(VLOOKUP(H126,Indexes!$C$2:$D$8,2,0),"")</f>
        <v/>
      </c>
      <c r="H126" s="5"/>
      <c r="I126" s="4" t="str">
        <f>+IFERROR(VLOOKUP(J126,Indexes!$E$2:$F$8,2,0),"")</f>
        <v/>
      </c>
      <c r="J126" s="5"/>
      <c r="K126" s="6" t="e">
        <f t="shared" si="1"/>
        <v>#VALUE!</v>
      </c>
      <c r="L126" s="2"/>
      <c r="M126" s="2"/>
      <c r="N126" s="2"/>
      <c r="O126" s="4" t="str">
        <f>IFERROR(VLOOKUP(P126,#REF!,2,0),"")</f>
        <v/>
      </c>
      <c r="P126" s="5"/>
      <c r="Q126" s="4" t="str">
        <f>+IFERROR(VLOOKUP(R126,#REF!,2,0),"")</f>
        <v/>
      </c>
      <c r="R126" s="5"/>
      <c r="S126" s="4" t="str">
        <f>+IFERROR(VLOOKUP(T126,#REF!,2,0),"")</f>
        <v/>
      </c>
      <c r="T126" s="5"/>
      <c r="U126" s="6" t="str">
        <f>IFERROR((VLOOKUP(P126,#REF!,2,0)*VLOOKUP(R126,#REF!,2,0)*VLOOKUP(T126,#REF!,2,0)),"")</f>
        <v/>
      </c>
    </row>
    <row r="127" spans="1:21" ht="15" x14ac:dyDescent="0.25">
      <c r="A127" s="2"/>
      <c r="B127" s="2"/>
      <c r="C127" s="2"/>
      <c r="D127" s="2"/>
      <c r="E127" s="4" t="str">
        <f>IFERROR(+VLOOKUP(F127,Indexes!$A$2:$B$8,2,0),"")</f>
        <v/>
      </c>
      <c r="F127" s="5"/>
      <c r="G127" s="4" t="str">
        <f>+IFERROR(VLOOKUP(H127,Indexes!$C$2:$D$8,2,0),"")</f>
        <v/>
      </c>
      <c r="H127" s="5"/>
      <c r="I127" s="4" t="str">
        <f>+IFERROR(VLOOKUP(J127,Indexes!$E$2:$F$8,2,0),"")</f>
        <v/>
      </c>
      <c r="J127" s="5"/>
      <c r="K127" s="6" t="e">
        <f t="shared" si="1"/>
        <v>#VALUE!</v>
      </c>
      <c r="L127" s="2"/>
      <c r="M127" s="2"/>
      <c r="N127" s="2"/>
      <c r="O127" s="4" t="str">
        <f>IFERROR(VLOOKUP(P127,#REF!,2,0),"")</f>
        <v/>
      </c>
      <c r="P127" s="5"/>
      <c r="Q127" s="4" t="str">
        <f>+IFERROR(VLOOKUP(R127,#REF!,2,0),"")</f>
        <v/>
      </c>
      <c r="R127" s="5"/>
      <c r="S127" s="4" t="str">
        <f>+IFERROR(VLOOKUP(T127,#REF!,2,0),"")</f>
        <v/>
      </c>
      <c r="T127" s="5"/>
      <c r="U127" s="6" t="str">
        <f>IFERROR((VLOOKUP(P127,#REF!,2,0)*VLOOKUP(R127,#REF!,2,0)*VLOOKUP(T127,#REF!,2,0)),"")</f>
        <v/>
      </c>
    </row>
    <row r="128" spans="1:21" ht="15" x14ac:dyDescent="0.25">
      <c r="A128" s="2"/>
      <c r="B128" s="2"/>
      <c r="C128" s="2"/>
      <c r="D128" s="2"/>
      <c r="E128" s="4" t="str">
        <f>IFERROR(+VLOOKUP(F128,Indexes!$A$2:$B$8,2,0),"")</f>
        <v/>
      </c>
      <c r="F128" s="5"/>
      <c r="G128" s="4" t="str">
        <f>+IFERROR(VLOOKUP(H128,Indexes!$C$2:$D$8,2,0),"")</f>
        <v/>
      </c>
      <c r="H128" s="5"/>
      <c r="I128" s="4" t="str">
        <f>+IFERROR(VLOOKUP(J128,Indexes!$E$2:$F$8,2,0),"")</f>
        <v/>
      </c>
      <c r="J128" s="5"/>
      <c r="K128" s="6" t="e">
        <f t="shared" si="1"/>
        <v>#VALUE!</v>
      </c>
      <c r="L128" s="2"/>
      <c r="M128" s="2"/>
      <c r="N128" s="2"/>
      <c r="O128" s="4" t="str">
        <f>IFERROR(VLOOKUP(P128,#REF!,2,0),"")</f>
        <v/>
      </c>
      <c r="P128" s="5"/>
      <c r="Q128" s="4" t="str">
        <f>+IFERROR(VLOOKUP(R128,#REF!,2,0),"")</f>
        <v/>
      </c>
      <c r="R128" s="5"/>
      <c r="S128" s="4" t="str">
        <f>+IFERROR(VLOOKUP(T128,#REF!,2,0),"")</f>
        <v/>
      </c>
      <c r="T128" s="5"/>
      <c r="U128" s="6" t="str">
        <f>IFERROR((VLOOKUP(P128,#REF!,2,0)*VLOOKUP(R128,#REF!,2,0)*VLOOKUP(T128,#REF!,2,0)),"")</f>
        <v/>
      </c>
    </row>
    <row r="129" spans="1:21" ht="15" x14ac:dyDescent="0.25">
      <c r="A129" s="2"/>
      <c r="B129" s="2"/>
      <c r="C129" s="2"/>
      <c r="D129" s="2"/>
      <c r="E129" s="4" t="str">
        <f>IFERROR(+VLOOKUP(F129,Indexes!$A$2:$B$8,2,0),"")</f>
        <v/>
      </c>
      <c r="F129" s="5"/>
      <c r="G129" s="4" t="str">
        <f>+IFERROR(VLOOKUP(H129,Indexes!$C$2:$D$8,2,0),"")</f>
        <v/>
      </c>
      <c r="H129" s="5"/>
      <c r="I129" s="4" t="str">
        <f>+IFERROR(VLOOKUP(J129,Indexes!$E$2:$F$8,2,0),"")</f>
        <v/>
      </c>
      <c r="J129" s="5"/>
      <c r="K129" s="6" t="e">
        <f t="shared" si="1"/>
        <v>#VALUE!</v>
      </c>
      <c r="L129" s="2"/>
      <c r="M129" s="2"/>
      <c r="N129" s="2"/>
      <c r="O129" s="4" t="str">
        <f>IFERROR(VLOOKUP(P129,#REF!,2,0),"")</f>
        <v/>
      </c>
      <c r="P129" s="5"/>
      <c r="Q129" s="4" t="str">
        <f>+IFERROR(VLOOKUP(R129,#REF!,2,0),"")</f>
        <v/>
      </c>
      <c r="R129" s="5"/>
      <c r="S129" s="4" t="str">
        <f>+IFERROR(VLOOKUP(T129,#REF!,2,0),"")</f>
        <v/>
      </c>
      <c r="T129" s="5"/>
      <c r="U129" s="6" t="str">
        <f>IFERROR((VLOOKUP(P129,#REF!,2,0)*VLOOKUP(R129,#REF!,2,0)*VLOOKUP(T129,#REF!,2,0)),"")</f>
        <v/>
      </c>
    </row>
    <row r="130" spans="1:21" ht="15" x14ac:dyDescent="0.25">
      <c r="A130" s="2"/>
      <c r="B130" s="2"/>
      <c r="C130" s="2"/>
      <c r="D130" s="2"/>
      <c r="E130" s="4" t="str">
        <f>IFERROR(+VLOOKUP(F130,Indexes!$A$2:$B$8,2,0),"")</f>
        <v/>
      </c>
      <c r="F130" s="5"/>
      <c r="G130" s="4" t="str">
        <f>+IFERROR(VLOOKUP(H130,Indexes!$C$2:$D$8,2,0),"")</f>
        <v/>
      </c>
      <c r="H130" s="5"/>
      <c r="I130" s="4" t="str">
        <f>+IFERROR(VLOOKUP(J130,Indexes!$E$2:$F$8,2,0),"")</f>
        <v/>
      </c>
      <c r="J130" s="5"/>
      <c r="K130" s="6" t="e">
        <f t="shared" si="1"/>
        <v>#VALUE!</v>
      </c>
      <c r="L130" s="2"/>
      <c r="M130" s="2"/>
      <c r="N130" s="2"/>
      <c r="O130" s="4" t="str">
        <f>IFERROR(VLOOKUP(P130,#REF!,2,0),"")</f>
        <v/>
      </c>
      <c r="P130" s="5"/>
      <c r="Q130" s="4" t="str">
        <f>+IFERROR(VLOOKUP(R130,#REF!,2,0),"")</f>
        <v/>
      </c>
      <c r="R130" s="5"/>
      <c r="S130" s="4" t="str">
        <f>+IFERROR(VLOOKUP(T130,#REF!,2,0),"")</f>
        <v/>
      </c>
      <c r="T130" s="5"/>
      <c r="U130" s="6" t="str">
        <f>IFERROR((VLOOKUP(P130,#REF!,2,0)*VLOOKUP(R130,#REF!,2,0)*VLOOKUP(T130,#REF!,2,0)),"")</f>
        <v/>
      </c>
    </row>
    <row r="131" spans="1:21" ht="15" x14ac:dyDescent="0.25">
      <c r="A131" s="2"/>
      <c r="B131" s="2"/>
      <c r="C131" s="2"/>
      <c r="D131" s="2"/>
      <c r="E131" s="4" t="str">
        <f>IFERROR(+VLOOKUP(F131,Indexes!$A$2:$B$8,2,0),"")</f>
        <v/>
      </c>
      <c r="F131" s="5"/>
      <c r="G131" s="4" t="str">
        <f>+IFERROR(VLOOKUP(H131,Indexes!$C$2:$D$8,2,0),"")</f>
        <v/>
      </c>
      <c r="H131" s="5"/>
      <c r="I131" s="4" t="str">
        <f>+IFERROR(VLOOKUP(J131,Indexes!$E$2:$F$8,2,0),"")</f>
        <v/>
      </c>
      <c r="J131" s="5"/>
      <c r="K131" s="6" t="e">
        <f t="shared" si="1"/>
        <v>#VALUE!</v>
      </c>
      <c r="L131" s="2"/>
      <c r="M131" s="2"/>
      <c r="N131" s="2"/>
      <c r="O131" s="4" t="str">
        <f>IFERROR(VLOOKUP(P131,#REF!,2,0),"")</f>
        <v/>
      </c>
      <c r="P131" s="5"/>
      <c r="Q131" s="4" t="str">
        <f>+IFERROR(VLOOKUP(R131,#REF!,2,0),"")</f>
        <v/>
      </c>
      <c r="R131" s="5"/>
      <c r="S131" s="4" t="str">
        <f>+IFERROR(VLOOKUP(T131,#REF!,2,0),"")</f>
        <v/>
      </c>
      <c r="T131" s="5"/>
      <c r="U131" s="6" t="str">
        <f>IFERROR((VLOOKUP(P131,#REF!,2,0)*VLOOKUP(R131,#REF!,2,0)*VLOOKUP(T131,#REF!,2,0)),"")</f>
        <v/>
      </c>
    </row>
    <row r="132" spans="1:21" ht="15" x14ac:dyDescent="0.25">
      <c r="A132" s="2"/>
      <c r="B132" s="2"/>
      <c r="C132" s="2"/>
      <c r="D132" s="2"/>
      <c r="E132" s="4" t="str">
        <f>IFERROR(+VLOOKUP(F132,Indexes!$A$2:$B$8,2,0),"")</f>
        <v/>
      </c>
      <c r="F132" s="5"/>
      <c r="G132" s="4" t="str">
        <f>+IFERROR(VLOOKUP(H132,Indexes!$C$2:$D$8,2,0),"")</f>
        <v/>
      </c>
      <c r="H132" s="5"/>
      <c r="I132" s="4" t="str">
        <f>+IFERROR(VLOOKUP(J132,Indexes!$E$2:$F$8,2,0),"")</f>
        <v/>
      </c>
      <c r="J132" s="5"/>
      <c r="K132" s="6" t="e">
        <f t="shared" si="1"/>
        <v>#VALUE!</v>
      </c>
      <c r="L132" s="2"/>
      <c r="M132" s="2"/>
      <c r="N132" s="2"/>
      <c r="O132" s="4" t="str">
        <f>IFERROR(VLOOKUP(P132,#REF!,2,0),"")</f>
        <v/>
      </c>
      <c r="P132" s="5"/>
      <c r="Q132" s="4" t="str">
        <f>+IFERROR(VLOOKUP(R132,#REF!,2,0),"")</f>
        <v/>
      </c>
      <c r="R132" s="5"/>
      <c r="S132" s="4" t="str">
        <f>+IFERROR(VLOOKUP(T132,#REF!,2,0),"")</f>
        <v/>
      </c>
      <c r="T132" s="5"/>
      <c r="U132" s="6" t="str">
        <f>IFERROR((VLOOKUP(P132,#REF!,2,0)*VLOOKUP(R132,#REF!,2,0)*VLOOKUP(T132,#REF!,2,0)),"")</f>
        <v/>
      </c>
    </row>
    <row r="133" spans="1:21" ht="15" x14ac:dyDescent="0.25">
      <c r="A133" s="2"/>
      <c r="B133" s="2"/>
      <c r="C133" s="2"/>
      <c r="D133" s="2"/>
      <c r="E133" s="4" t="str">
        <f>IFERROR(+VLOOKUP(F133,Indexes!$A$2:$B$8,2,0),"")</f>
        <v/>
      </c>
      <c r="F133" s="5"/>
      <c r="G133" s="4" t="str">
        <f>+IFERROR(VLOOKUP(H133,Indexes!$C$2:$D$8,2,0),"")</f>
        <v/>
      </c>
      <c r="H133" s="5"/>
      <c r="I133" s="4" t="str">
        <f>+IFERROR(VLOOKUP(J133,Indexes!$E$2:$F$8,2,0),"")</f>
        <v/>
      </c>
      <c r="J133" s="5"/>
      <c r="K133" s="6" t="e">
        <f t="shared" si="1"/>
        <v>#VALUE!</v>
      </c>
      <c r="L133" s="2"/>
      <c r="M133" s="2"/>
      <c r="N133" s="2"/>
      <c r="O133" s="4" t="str">
        <f>IFERROR(VLOOKUP(P133,#REF!,2,0),"")</f>
        <v/>
      </c>
      <c r="P133" s="5"/>
      <c r="Q133" s="4" t="str">
        <f>+IFERROR(VLOOKUP(R133,#REF!,2,0),"")</f>
        <v/>
      </c>
      <c r="R133" s="5"/>
      <c r="S133" s="4" t="str">
        <f>+IFERROR(VLOOKUP(T133,#REF!,2,0),"")</f>
        <v/>
      </c>
      <c r="T133" s="5"/>
      <c r="U133" s="6" t="str">
        <f>IFERROR((VLOOKUP(P133,#REF!,2,0)*VLOOKUP(R133,#REF!,2,0)*VLOOKUP(T133,#REF!,2,0)),"")</f>
        <v/>
      </c>
    </row>
    <row r="134" spans="1:21" ht="15" x14ac:dyDescent="0.25">
      <c r="A134" s="2"/>
      <c r="B134" s="2"/>
      <c r="C134" s="2"/>
      <c r="D134" s="2"/>
      <c r="E134" s="4" t="str">
        <f>IFERROR(+VLOOKUP(F134,Indexes!$A$2:$B$8,2,0),"")</f>
        <v/>
      </c>
      <c r="F134" s="5"/>
      <c r="G134" s="4" t="str">
        <f>+IFERROR(VLOOKUP(H134,Indexes!$C$2:$D$8,2,0),"")</f>
        <v/>
      </c>
      <c r="H134" s="5"/>
      <c r="I134" s="4" t="str">
        <f>+IFERROR(VLOOKUP(J134,Indexes!$E$2:$F$8,2,0),"")</f>
        <v/>
      </c>
      <c r="J134" s="5"/>
      <c r="K134" s="6" t="e">
        <f t="shared" si="1"/>
        <v>#VALUE!</v>
      </c>
      <c r="L134" s="2"/>
      <c r="M134" s="2"/>
      <c r="N134" s="2"/>
      <c r="O134" s="4" t="str">
        <f>IFERROR(VLOOKUP(P134,#REF!,2,0),"")</f>
        <v/>
      </c>
      <c r="P134" s="5"/>
      <c r="Q134" s="4" t="str">
        <f>+IFERROR(VLOOKUP(R134,#REF!,2,0),"")</f>
        <v/>
      </c>
      <c r="R134" s="5"/>
      <c r="S134" s="4" t="str">
        <f>+IFERROR(VLOOKUP(T134,#REF!,2,0),"")</f>
        <v/>
      </c>
      <c r="T134" s="5"/>
      <c r="U134" s="6" t="str">
        <f>IFERROR((VLOOKUP(P134,#REF!,2,0)*VLOOKUP(R134,#REF!,2,0)*VLOOKUP(T134,#REF!,2,0)),"")</f>
        <v/>
      </c>
    </row>
    <row r="135" spans="1:21" ht="15" x14ac:dyDescent="0.25">
      <c r="A135" s="2"/>
      <c r="B135" s="2"/>
      <c r="C135" s="2"/>
      <c r="D135" s="2"/>
      <c r="E135" s="4" t="str">
        <f>IFERROR(+VLOOKUP(F135,Indexes!$A$2:$B$8,2,0),"")</f>
        <v/>
      </c>
      <c r="F135" s="5"/>
      <c r="G135" s="4" t="str">
        <f>+IFERROR(VLOOKUP(H135,Indexes!$C$2:$D$8,2,0),"")</f>
        <v/>
      </c>
      <c r="H135" s="5"/>
      <c r="I135" s="4" t="str">
        <f>+IFERROR(VLOOKUP(J135,Indexes!$E$2:$F$8,2,0),"")</f>
        <v/>
      </c>
      <c r="J135" s="5"/>
      <c r="K135" s="6" t="e">
        <f t="shared" si="1"/>
        <v>#VALUE!</v>
      </c>
      <c r="L135" s="2"/>
      <c r="M135" s="2"/>
      <c r="N135" s="2"/>
      <c r="O135" s="4" t="str">
        <f>IFERROR(VLOOKUP(P135,#REF!,2,0),"")</f>
        <v/>
      </c>
      <c r="P135" s="5"/>
      <c r="Q135" s="4" t="str">
        <f>+IFERROR(VLOOKUP(R135,#REF!,2,0),"")</f>
        <v/>
      </c>
      <c r="R135" s="5"/>
      <c r="S135" s="4" t="str">
        <f>+IFERROR(VLOOKUP(T135,#REF!,2,0),"")</f>
        <v/>
      </c>
      <c r="T135" s="5"/>
      <c r="U135" s="6" t="str">
        <f>IFERROR((VLOOKUP(P135,#REF!,2,0)*VLOOKUP(R135,#REF!,2,0)*VLOOKUP(T135,#REF!,2,0)),"")</f>
        <v/>
      </c>
    </row>
    <row r="136" spans="1:21" ht="15" x14ac:dyDescent="0.25">
      <c r="A136" s="2"/>
      <c r="B136" s="2"/>
      <c r="C136" s="2"/>
      <c r="D136" s="2"/>
      <c r="E136" s="4" t="str">
        <f>IFERROR(+VLOOKUP(F136,Indexes!$A$2:$B$8,2,0),"")</f>
        <v/>
      </c>
      <c r="F136" s="5"/>
      <c r="G136" s="4" t="str">
        <f>+IFERROR(VLOOKUP(H136,Indexes!$C$2:$D$8,2,0),"")</f>
        <v/>
      </c>
      <c r="H136" s="5"/>
      <c r="I136" s="4" t="str">
        <f>+IFERROR(VLOOKUP(J136,Indexes!$E$2:$F$8,2,0),"")</f>
        <v/>
      </c>
      <c r="J136" s="5"/>
      <c r="K136" s="6" t="e">
        <f t="shared" si="1"/>
        <v>#VALUE!</v>
      </c>
      <c r="L136" s="2"/>
      <c r="M136" s="2"/>
      <c r="N136" s="2"/>
      <c r="O136" s="4" t="str">
        <f>IFERROR(VLOOKUP(P136,#REF!,2,0),"")</f>
        <v/>
      </c>
      <c r="P136" s="5"/>
      <c r="Q136" s="4" t="str">
        <f>+IFERROR(VLOOKUP(R136,#REF!,2,0),"")</f>
        <v/>
      </c>
      <c r="R136" s="5"/>
      <c r="S136" s="4" t="str">
        <f>+IFERROR(VLOOKUP(T136,#REF!,2,0),"")</f>
        <v/>
      </c>
      <c r="T136" s="5"/>
      <c r="U136" s="6" t="str">
        <f>IFERROR((VLOOKUP(P136,#REF!,2,0)*VLOOKUP(R136,#REF!,2,0)*VLOOKUP(T136,#REF!,2,0)),"")</f>
        <v/>
      </c>
    </row>
    <row r="137" spans="1:21" ht="15" x14ac:dyDescent="0.25">
      <c r="A137" s="2"/>
      <c r="B137" s="2"/>
      <c r="C137" s="2"/>
      <c r="D137" s="2"/>
      <c r="E137" s="4" t="str">
        <f>IFERROR(+VLOOKUP(F137,Indexes!$A$2:$B$8,2,0),"")</f>
        <v/>
      </c>
      <c r="F137" s="5"/>
      <c r="G137" s="4" t="str">
        <f>+IFERROR(VLOOKUP(H137,Indexes!$C$2:$D$8,2,0),"")</f>
        <v/>
      </c>
      <c r="H137" s="5"/>
      <c r="I137" s="4" t="str">
        <f>+IFERROR(VLOOKUP(J137,Indexes!$E$2:$F$8,2,0),"")</f>
        <v/>
      </c>
      <c r="J137" s="5"/>
      <c r="K137" s="6" t="e">
        <f t="shared" si="1"/>
        <v>#VALUE!</v>
      </c>
      <c r="L137" s="2"/>
      <c r="M137" s="2"/>
      <c r="N137" s="2"/>
      <c r="O137" s="4" t="str">
        <f>IFERROR(VLOOKUP(P137,#REF!,2,0),"")</f>
        <v/>
      </c>
      <c r="P137" s="5"/>
      <c r="Q137" s="4" t="str">
        <f>+IFERROR(VLOOKUP(R137,#REF!,2,0),"")</f>
        <v/>
      </c>
      <c r="R137" s="5"/>
      <c r="S137" s="4" t="str">
        <f>+IFERROR(VLOOKUP(T137,#REF!,2,0),"")</f>
        <v/>
      </c>
      <c r="T137" s="5"/>
      <c r="U137" s="6" t="str">
        <f>IFERROR((VLOOKUP(P137,#REF!,2,0)*VLOOKUP(R137,#REF!,2,0)*VLOOKUP(T137,#REF!,2,0)),"")</f>
        <v/>
      </c>
    </row>
    <row r="138" spans="1:21" ht="15" x14ac:dyDescent="0.25">
      <c r="A138" s="2"/>
      <c r="B138" s="2"/>
      <c r="C138" s="2"/>
      <c r="D138" s="2"/>
      <c r="E138" s="4" t="str">
        <f>IFERROR(+VLOOKUP(F138,Indexes!$A$2:$B$8,2,0),"")</f>
        <v/>
      </c>
      <c r="F138" s="5"/>
      <c r="G138" s="4" t="str">
        <f>+IFERROR(VLOOKUP(H138,Indexes!$C$2:$D$8,2,0),"")</f>
        <v/>
      </c>
      <c r="H138" s="5"/>
      <c r="I138" s="4" t="str">
        <f>+IFERROR(VLOOKUP(J138,Indexes!$E$2:$F$8,2,0),"")</f>
        <v/>
      </c>
      <c r="J138" s="5"/>
      <c r="K138" s="6" t="e">
        <f t="shared" si="1"/>
        <v>#VALUE!</v>
      </c>
      <c r="L138" s="2"/>
      <c r="M138" s="2"/>
      <c r="N138" s="2"/>
      <c r="O138" s="4" t="str">
        <f>IFERROR(VLOOKUP(P138,#REF!,2,0),"")</f>
        <v/>
      </c>
      <c r="P138" s="5"/>
      <c r="Q138" s="4" t="str">
        <f>+IFERROR(VLOOKUP(R138,#REF!,2,0),"")</f>
        <v/>
      </c>
      <c r="R138" s="5"/>
      <c r="S138" s="4" t="str">
        <f>+IFERROR(VLOOKUP(T138,#REF!,2,0),"")</f>
        <v/>
      </c>
      <c r="T138" s="5"/>
      <c r="U138" s="6" t="str">
        <f>IFERROR((VLOOKUP(P138,#REF!,2,0)*VLOOKUP(R138,#REF!,2,0)*VLOOKUP(T138,#REF!,2,0)),"")</f>
        <v/>
      </c>
    </row>
    <row r="139" spans="1:21" ht="15" x14ac:dyDescent="0.25">
      <c r="A139" s="2"/>
      <c r="B139" s="2"/>
      <c r="C139" s="2"/>
      <c r="D139" s="2"/>
      <c r="E139" s="4" t="str">
        <f>IFERROR(+VLOOKUP(F139,Indexes!$A$2:$B$8,2,0),"")</f>
        <v/>
      </c>
      <c r="F139" s="5"/>
      <c r="G139" s="4" t="str">
        <f>+IFERROR(VLOOKUP(H139,Indexes!$C$2:$D$8,2,0),"")</f>
        <v/>
      </c>
      <c r="H139" s="5"/>
      <c r="I139" s="4" t="str">
        <f>+IFERROR(VLOOKUP(J139,Indexes!$E$2:$F$8,2,0),"")</f>
        <v/>
      </c>
      <c r="J139" s="5"/>
      <c r="K139" s="6" t="e">
        <f t="shared" ref="K139:K188" si="2">I139*G139*E139</f>
        <v>#VALUE!</v>
      </c>
      <c r="L139" s="2"/>
      <c r="M139" s="2"/>
      <c r="N139" s="2"/>
      <c r="O139" s="4" t="str">
        <f>IFERROR(VLOOKUP(P139,#REF!,2,0),"")</f>
        <v/>
      </c>
      <c r="P139" s="5"/>
      <c r="Q139" s="4" t="str">
        <f>+IFERROR(VLOOKUP(R139,#REF!,2,0),"")</f>
        <v/>
      </c>
      <c r="R139" s="5"/>
      <c r="S139" s="4" t="str">
        <f>+IFERROR(VLOOKUP(T139,#REF!,2,0),"")</f>
        <v/>
      </c>
      <c r="T139" s="5"/>
      <c r="U139" s="6" t="str">
        <f>IFERROR((VLOOKUP(P139,#REF!,2,0)*VLOOKUP(R139,#REF!,2,0)*VLOOKUP(T139,#REF!,2,0)),"")</f>
        <v/>
      </c>
    </row>
    <row r="140" spans="1:21" ht="15" x14ac:dyDescent="0.25">
      <c r="A140" s="2"/>
      <c r="B140" s="2"/>
      <c r="C140" s="2"/>
      <c r="D140" s="2"/>
      <c r="E140" s="4" t="str">
        <f>IFERROR(+VLOOKUP(F140,Indexes!$A$2:$B$8,2,0),"")</f>
        <v/>
      </c>
      <c r="F140" s="5"/>
      <c r="G140" s="4" t="str">
        <f>+IFERROR(VLOOKUP(H140,Indexes!$C$2:$D$8,2,0),"")</f>
        <v/>
      </c>
      <c r="H140" s="5"/>
      <c r="I140" s="4" t="str">
        <f>+IFERROR(VLOOKUP(J140,Indexes!$E$2:$F$8,2,0),"")</f>
        <v/>
      </c>
      <c r="J140" s="5"/>
      <c r="K140" s="6" t="e">
        <f t="shared" si="2"/>
        <v>#VALUE!</v>
      </c>
      <c r="L140" s="2"/>
      <c r="M140" s="2"/>
      <c r="N140" s="2"/>
      <c r="O140" s="4" t="str">
        <f>IFERROR(VLOOKUP(P140,#REF!,2,0),"")</f>
        <v/>
      </c>
      <c r="P140" s="5"/>
      <c r="Q140" s="4" t="str">
        <f>+IFERROR(VLOOKUP(R140,#REF!,2,0),"")</f>
        <v/>
      </c>
      <c r="R140" s="5"/>
      <c r="S140" s="4" t="str">
        <f>+IFERROR(VLOOKUP(T140,#REF!,2,0),"")</f>
        <v/>
      </c>
      <c r="T140" s="5"/>
      <c r="U140" s="6" t="str">
        <f>IFERROR((VLOOKUP(P140,#REF!,2,0)*VLOOKUP(R140,#REF!,2,0)*VLOOKUP(T140,#REF!,2,0)),"")</f>
        <v/>
      </c>
    </row>
    <row r="141" spans="1:21" ht="15" x14ac:dyDescent="0.25">
      <c r="A141" s="2"/>
      <c r="B141" s="2"/>
      <c r="C141" s="2"/>
      <c r="D141" s="2"/>
      <c r="E141" s="4" t="str">
        <f>IFERROR(+VLOOKUP(F141,Indexes!$A$2:$B$8,2,0),"")</f>
        <v/>
      </c>
      <c r="F141" s="5"/>
      <c r="G141" s="4" t="str">
        <f>+IFERROR(VLOOKUP(H141,Indexes!$C$2:$D$8,2,0),"")</f>
        <v/>
      </c>
      <c r="H141" s="5"/>
      <c r="I141" s="4" t="str">
        <f>+IFERROR(VLOOKUP(J141,Indexes!$E$2:$F$8,2,0),"")</f>
        <v/>
      </c>
      <c r="J141" s="5"/>
      <c r="K141" s="6" t="e">
        <f t="shared" si="2"/>
        <v>#VALUE!</v>
      </c>
      <c r="L141" s="2"/>
      <c r="M141" s="2"/>
      <c r="N141" s="2"/>
      <c r="O141" s="4" t="str">
        <f>IFERROR(VLOOKUP(P141,#REF!,2,0),"")</f>
        <v/>
      </c>
      <c r="P141" s="5"/>
      <c r="Q141" s="4" t="str">
        <f>+IFERROR(VLOOKUP(R141,#REF!,2,0),"")</f>
        <v/>
      </c>
      <c r="R141" s="5"/>
      <c r="S141" s="4" t="str">
        <f>+IFERROR(VLOOKUP(T141,#REF!,2,0),"")</f>
        <v/>
      </c>
      <c r="T141" s="5"/>
      <c r="U141" s="6" t="str">
        <f>IFERROR((VLOOKUP(P141,#REF!,2,0)*VLOOKUP(R141,#REF!,2,0)*VLOOKUP(T141,#REF!,2,0)),"")</f>
        <v/>
      </c>
    </row>
    <row r="142" spans="1:21" ht="15" x14ac:dyDescent="0.25">
      <c r="A142" s="2"/>
      <c r="B142" s="2"/>
      <c r="C142" s="2"/>
      <c r="D142" s="2"/>
      <c r="E142" s="4" t="str">
        <f>IFERROR(+VLOOKUP(F142,Indexes!$A$2:$B$8,2,0),"")</f>
        <v/>
      </c>
      <c r="F142" s="5"/>
      <c r="G142" s="4" t="str">
        <f>+IFERROR(VLOOKUP(H142,Indexes!$C$2:$D$8,2,0),"")</f>
        <v/>
      </c>
      <c r="H142" s="5"/>
      <c r="I142" s="4" t="str">
        <f>+IFERROR(VLOOKUP(J142,Indexes!$E$2:$F$8,2,0),"")</f>
        <v/>
      </c>
      <c r="J142" s="5"/>
      <c r="K142" s="6" t="e">
        <f t="shared" si="2"/>
        <v>#VALUE!</v>
      </c>
      <c r="L142" s="2"/>
      <c r="M142" s="2"/>
      <c r="N142" s="2"/>
      <c r="O142" s="4" t="str">
        <f>IFERROR(VLOOKUP(P142,#REF!,2,0),"")</f>
        <v/>
      </c>
      <c r="P142" s="5"/>
      <c r="Q142" s="4" t="str">
        <f>+IFERROR(VLOOKUP(R142,#REF!,2,0),"")</f>
        <v/>
      </c>
      <c r="R142" s="5"/>
      <c r="S142" s="4" t="str">
        <f>+IFERROR(VLOOKUP(T142,#REF!,2,0),"")</f>
        <v/>
      </c>
      <c r="T142" s="5"/>
      <c r="U142" s="6" t="str">
        <f>IFERROR((VLOOKUP(P142,#REF!,2,0)*VLOOKUP(R142,#REF!,2,0)*VLOOKUP(T142,#REF!,2,0)),"")</f>
        <v/>
      </c>
    </row>
    <row r="143" spans="1:21" ht="15" x14ac:dyDescent="0.25">
      <c r="A143" s="2"/>
      <c r="B143" s="2"/>
      <c r="C143" s="2"/>
      <c r="D143" s="2"/>
      <c r="E143" s="4" t="str">
        <f>IFERROR(+VLOOKUP(F143,Indexes!$A$2:$B$8,2,0),"")</f>
        <v/>
      </c>
      <c r="F143" s="5"/>
      <c r="G143" s="4" t="str">
        <f>+IFERROR(VLOOKUP(H143,Indexes!$C$2:$D$8,2,0),"")</f>
        <v/>
      </c>
      <c r="H143" s="5"/>
      <c r="I143" s="4" t="str">
        <f>+IFERROR(VLOOKUP(J143,Indexes!$E$2:$F$8,2,0),"")</f>
        <v/>
      </c>
      <c r="J143" s="5"/>
      <c r="K143" s="6" t="e">
        <f t="shared" si="2"/>
        <v>#VALUE!</v>
      </c>
      <c r="L143" s="2"/>
      <c r="M143" s="2"/>
      <c r="N143" s="2"/>
      <c r="O143" s="4" t="str">
        <f>IFERROR(VLOOKUP(P143,#REF!,2,0),"")</f>
        <v/>
      </c>
      <c r="P143" s="5"/>
      <c r="Q143" s="4" t="str">
        <f>+IFERROR(VLOOKUP(R143,#REF!,2,0),"")</f>
        <v/>
      </c>
      <c r="R143" s="5"/>
      <c r="S143" s="4" t="str">
        <f>+IFERROR(VLOOKUP(T143,#REF!,2,0),"")</f>
        <v/>
      </c>
      <c r="T143" s="5"/>
      <c r="U143" s="6" t="str">
        <f>IFERROR((VLOOKUP(P143,#REF!,2,0)*VLOOKUP(R143,#REF!,2,0)*VLOOKUP(T143,#REF!,2,0)),"")</f>
        <v/>
      </c>
    </row>
    <row r="144" spans="1:21" ht="15" x14ac:dyDescent="0.25">
      <c r="A144" s="2"/>
      <c r="B144" s="2"/>
      <c r="C144" s="2"/>
      <c r="D144" s="2"/>
      <c r="E144" s="4" t="str">
        <f>IFERROR(+VLOOKUP(F144,Indexes!$A$2:$B$8,2,0),"")</f>
        <v/>
      </c>
      <c r="F144" s="5"/>
      <c r="G144" s="4" t="str">
        <f>+IFERROR(VLOOKUP(H144,Indexes!$C$2:$D$8,2,0),"")</f>
        <v/>
      </c>
      <c r="H144" s="5"/>
      <c r="I144" s="4" t="str">
        <f>+IFERROR(VLOOKUP(J144,Indexes!$E$2:$F$8,2,0),"")</f>
        <v/>
      </c>
      <c r="J144" s="5"/>
      <c r="K144" s="6" t="e">
        <f t="shared" si="2"/>
        <v>#VALUE!</v>
      </c>
      <c r="L144" s="2"/>
      <c r="M144" s="2"/>
      <c r="N144" s="2"/>
      <c r="O144" s="4" t="str">
        <f>IFERROR(VLOOKUP(P144,#REF!,2,0),"")</f>
        <v/>
      </c>
      <c r="P144" s="5"/>
      <c r="Q144" s="4" t="str">
        <f>+IFERROR(VLOOKUP(R144,#REF!,2,0),"")</f>
        <v/>
      </c>
      <c r="R144" s="5"/>
      <c r="S144" s="4" t="str">
        <f>+IFERROR(VLOOKUP(T144,#REF!,2,0),"")</f>
        <v/>
      </c>
      <c r="T144" s="5"/>
      <c r="U144" s="6" t="str">
        <f>IFERROR((VLOOKUP(P144,#REF!,2,0)*VLOOKUP(R144,#REF!,2,0)*VLOOKUP(T144,#REF!,2,0)),"")</f>
        <v/>
      </c>
    </row>
    <row r="145" spans="1:21" ht="15" x14ac:dyDescent="0.25">
      <c r="A145" s="2"/>
      <c r="B145" s="2"/>
      <c r="C145" s="2"/>
      <c r="D145" s="2"/>
      <c r="E145" s="4" t="str">
        <f>IFERROR(+VLOOKUP(F145,Indexes!$A$2:$B$8,2,0),"")</f>
        <v/>
      </c>
      <c r="F145" s="5"/>
      <c r="G145" s="4" t="str">
        <f>+IFERROR(VLOOKUP(H145,Indexes!$C$2:$D$8,2,0),"")</f>
        <v/>
      </c>
      <c r="H145" s="5"/>
      <c r="I145" s="4" t="str">
        <f>+IFERROR(VLOOKUP(J145,Indexes!$E$2:$F$8,2,0),"")</f>
        <v/>
      </c>
      <c r="J145" s="5"/>
      <c r="K145" s="6" t="e">
        <f t="shared" si="2"/>
        <v>#VALUE!</v>
      </c>
      <c r="L145" s="2"/>
      <c r="M145" s="2"/>
      <c r="N145" s="2"/>
      <c r="O145" s="4" t="str">
        <f>IFERROR(VLOOKUP(P145,#REF!,2,0),"")</f>
        <v/>
      </c>
      <c r="P145" s="5"/>
      <c r="Q145" s="4" t="str">
        <f>+IFERROR(VLOOKUP(R145,#REF!,2,0),"")</f>
        <v/>
      </c>
      <c r="R145" s="5"/>
      <c r="S145" s="4" t="str">
        <f>+IFERROR(VLOOKUP(T145,#REF!,2,0),"")</f>
        <v/>
      </c>
      <c r="T145" s="5"/>
      <c r="U145" s="6" t="str">
        <f>IFERROR((VLOOKUP(P145,#REF!,2,0)*VLOOKUP(R145,#REF!,2,0)*VLOOKUP(T145,#REF!,2,0)),"")</f>
        <v/>
      </c>
    </row>
    <row r="146" spans="1:21" ht="15" x14ac:dyDescent="0.25">
      <c r="A146" s="2"/>
      <c r="B146" s="2"/>
      <c r="C146" s="2"/>
      <c r="D146" s="2"/>
      <c r="E146" s="4" t="str">
        <f>IFERROR(+VLOOKUP(F146,Indexes!$A$2:$B$8,2,0),"")</f>
        <v/>
      </c>
      <c r="F146" s="5"/>
      <c r="G146" s="4" t="str">
        <f>+IFERROR(VLOOKUP(H146,Indexes!$C$2:$D$8,2,0),"")</f>
        <v/>
      </c>
      <c r="H146" s="5"/>
      <c r="I146" s="4" t="str">
        <f>+IFERROR(VLOOKUP(J146,Indexes!$E$2:$F$8,2,0),"")</f>
        <v/>
      </c>
      <c r="J146" s="5"/>
      <c r="K146" s="6" t="e">
        <f t="shared" si="2"/>
        <v>#VALUE!</v>
      </c>
      <c r="L146" s="2"/>
      <c r="M146" s="2"/>
      <c r="N146" s="2"/>
      <c r="O146" s="4" t="str">
        <f>IFERROR(VLOOKUP(P146,#REF!,2,0),"")</f>
        <v/>
      </c>
      <c r="P146" s="5"/>
      <c r="Q146" s="4" t="str">
        <f>+IFERROR(VLOOKUP(R146,#REF!,2,0),"")</f>
        <v/>
      </c>
      <c r="R146" s="5"/>
      <c r="S146" s="4" t="str">
        <f>+IFERROR(VLOOKUP(T146,#REF!,2,0),"")</f>
        <v/>
      </c>
      <c r="T146" s="5"/>
      <c r="U146" s="6" t="str">
        <f>IFERROR((VLOOKUP(P146,#REF!,2,0)*VLOOKUP(R146,#REF!,2,0)*VLOOKUP(T146,#REF!,2,0)),"")</f>
        <v/>
      </c>
    </row>
    <row r="147" spans="1:21" ht="15" x14ac:dyDescent="0.25">
      <c r="A147" s="2"/>
      <c r="B147" s="2"/>
      <c r="C147" s="2"/>
      <c r="D147" s="2"/>
      <c r="E147" s="4" t="str">
        <f>IFERROR(+VLOOKUP(F147,Indexes!$A$2:$B$8,2,0),"")</f>
        <v/>
      </c>
      <c r="F147" s="5"/>
      <c r="G147" s="4" t="str">
        <f>+IFERROR(VLOOKUP(H147,Indexes!$C$2:$D$8,2,0),"")</f>
        <v/>
      </c>
      <c r="H147" s="5"/>
      <c r="I147" s="4" t="str">
        <f>+IFERROR(VLOOKUP(J147,Indexes!$E$2:$F$8,2,0),"")</f>
        <v/>
      </c>
      <c r="J147" s="5"/>
      <c r="K147" s="6" t="e">
        <f t="shared" si="2"/>
        <v>#VALUE!</v>
      </c>
      <c r="L147" s="2"/>
      <c r="M147" s="2"/>
      <c r="N147" s="2"/>
      <c r="O147" s="4" t="str">
        <f>IFERROR(VLOOKUP(P147,#REF!,2,0),"")</f>
        <v/>
      </c>
      <c r="P147" s="5"/>
      <c r="Q147" s="4" t="str">
        <f>+IFERROR(VLOOKUP(R147,#REF!,2,0),"")</f>
        <v/>
      </c>
      <c r="R147" s="5"/>
      <c r="S147" s="4" t="str">
        <f>+IFERROR(VLOOKUP(T147,#REF!,2,0),"")</f>
        <v/>
      </c>
      <c r="T147" s="5"/>
      <c r="U147" s="6" t="str">
        <f>IFERROR((VLOOKUP(P147,#REF!,2,0)*VLOOKUP(R147,#REF!,2,0)*VLOOKUP(T147,#REF!,2,0)),"")</f>
        <v/>
      </c>
    </row>
    <row r="148" spans="1:21" ht="15" x14ac:dyDescent="0.25">
      <c r="A148" s="2"/>
      <c r="B148" s="2"/>
      <c r="C148" s="2"/>
      <c r="D148" s="2"/>
      <c r="E148" s="4" t="str">
        <f>IFERROR(+VLOOKUP(F148,Indexes!$A$2:$B$8,2,0),"")</f>
        <v/>
      </c>
      <c r="F148" s="5"/>
      <c r="G148" s="4" t="str">
        <f>+IFERROR(VLOOKUP(H148,Indexes!$C$2:$D$8,2,0),"")</f>
        <v/>
      </c>
      <c r="H148" s="5"/>
      <c r="I148" s="4" t="str">
        <f>+IFERROR(VLOOKUP(J148,Indexes!$E$2:$F$8,2,0),"")</f>
        <v/>
      </c>
      <c r="J148" s="5"/>
      <c r="K148" s="6" t="e">
        <f t="shared" si="2"/>
        <v>#VALUE!</v>
      </c>
      <c r="L148" s="2"/>
      <c r="M148" s="2"/>
      <c r="N148" s="2"/>
      <c r="O148" s="4" t="str">
        <f>IFERROR(VLOOKUP(P148,#REF!,2,0),"")</f>
        <v/>
      </c>
      <c r="P148" s="5"/>
      <c r="Q148" s="4" t="str">
        <f>+IFERROR(VLOOKUP(R148,#REF!,2,0),"")</f>
        <v/>
      </c>
      <c r="R148" s="5"/>
      <c r="S148" s="4" t="str">
        <f>+IFERROR(VLOOKUP(T148,#REF!,2,0),"")</f>
        <v/>
      </c>
      <c r="T148" s="5"/>
      <c r="U148" s="6" t="str">
        <f>IFERROR((VLOOKUP(P148,#REF!,2,0)*VLOOKUP(R148,#REF!,2,0)*VLOOKUP(T148,#REF!,2,0)),"")</f>
        <v/>
      </c>
    </row>
    <row r="149" spans="1:21" ht="15" x14ac:dyDescent="0.25">
      <c r="A149" s="2"/>
      <c r="B149" s="2"/>
      <c r="C149" s="2"/>
      <c r="D149" s="2"/>
      <c r="E149" s="4" t="str">
        <f>IFERROR(+VLOOKUP(F149,Indexes!$A$2:$B$8,2,0),"")</f>
        <v/>
      </c>
      <c r="F149" s="5"/>
      <c r="G149" s="4" t="str">
        <f>+IFERROR(VLOOKUP(H149,Indexes!$C$2:$D$8,2,0),"")</f>
        <v/>
      </c>
      <c r="H149" s="5"/>
      <c r="I149" s="4" t="str">
        <f>+IFERROR(VLOOKUP(J149,Indexes!$E$2:$F$8,2,0),"")</f>
        <v/>
      </c>
      <c r="J149" s="5"/>
      <c r="K149" s="6" t="e">
        <f t="shared" si="2"/>
        <v>#VALUE!</v>
      </c>
      <c r="L149" s="2"/>
      <c r="M149" s="2"/>
      <c r="N149" s="2"/>
      <c r="O149" s="4" t="str">
        <f>IFERROR(VLOOKUP(P149,#REF!,2,0),"")</f>
        <v/>
      </c>
      <c r="P149" s="5"/>
      <c r="Q149" s="4" t="str">
        <f>+IFERROR(VLOOKUP(R149,#REF!,2,0),"")</f>
        <v/>
      </c>
      <c r="R149" s="5"/>
      <c r="S149" s="4" t="str">
        <f>+IFERROR(VLOOKUP(T149,#REF!,2,0),"")</f>
        <v/>
      </c>
      <c r="T149" s="5"/>
      <c r="U149" s="6" t="str">
        <f>IFERROR((VLOOKUP(P149,#REF!,2,0)*VLOOKUP(R149,#REF!,2,0)*VLOOKUP(T149,#REF!,2,0)),"")</f>
        <v/>
      </c>
    </row>
    <row r="150" spans="1:21" ht="15" x14ac:dyDescent="0.25">
      <c r="A150" s="2"/>
      <c r="B150" s="2"/>
      <c r="C150" s="2"/>
      <c r="D150" s="2"/>
      <c r="E150" s="4" t="str">
        <f>IFERROR(+VLOOKUP(F150,Indexes!$A$2:$B$8,2,0),"")</f>
        <v/>
      </c>
      <c r="F150" s="5"/>
      <c r="G150" s="4" t="str">
        <f>+IFERROR(VLOOKUP(H150,Indexes!$C$2:$D$8,2,0),"")</f>
        <v/>
      </c>
      <c r="H150" s="5"/>
      <c r="I150" s="4" t="str">
        <f>+IFERROR(VLOOKUP(J150,Indexes!$E$2:$F$8,2,0),"")</f>
        <v/>
      </c>
      <c r="J150" s="5"/>
      <c r="K150" s="6" t="e">
        <f t="shared" si="2"/>
        <v>#VALUE!</v>
      </c>
      <c r="L150" s="2"/>
      <c r="M150" s="2"/>
      <c r="N150" s="2"/>
      <c r="O150" s="4" t="str">
        <f>IFERROR(VLOOKUP(P150,#REF!,2,0),"")</f>
        <v/>
      </c>
      <c r="P150" s="5"/>
      <c r="Q150" s="4" t="str">
        <f>+IFERROR(VLOOKUP(R150,#REF!,2,0),"")</f>
        <v/>
      </c>
      <c r="R150" s="5"/>
      <c r="S150" s="4" t="str">
        <f>+IFERROR(VLOOKUP(T150,#REF!,2,0),"")</f>
        <v/>
      </c>
      <c r="T150" s="5"/>
      <c r="U150" s="6" t="str">
        <f>IFERROR((VLOOKUP(P150,#REF!,2,0)*VLOOKUP(R150,#REF!,2,0)*VLOOKUP(T150,#REF!,2,0)),"")</f>
        <v/>
      </c>
    </row>
    <row r="151" spans="1:21" ht="15" x14ac:dyDescent="0.25">
      <c r="A151" s="2"/>
      <c r="B151" s="2"/>
      <c r="C151" s="2"/>
      <c r="D151" s="2"/>
      <c r="E151" s="4" t="str">
        <f>IFERROR(+VLOOKUP(F151,Indexes!$A$2:$B$8,2,0),"")</f>
        <v/>
      </c>
      <c r="F151" s="5"/>
      <c r="G151" s="4" t="str">
        <f>+IFERROR(VLOOKUP(H151,Indexes!$C$2:$D$8,2,0),"")</f>
        <v/>
      </c>
      <c r="H151" s="5"/>
      <c r="I151" s="4" t="str">
        <f>+IFERROR(VLOOKUP(J151,Indexes!$E$2:$F$8,2,0),"")</f>
        <v/>
      </c>
      <c r="J151" s="5"/>
      <c r="K151" s="6" t="e">
        <f t="shared" si="2"/>
        <v>#VALUE!</v>
      </c>
      <c r="L151" s="2"/>
      <c r="M151" s="2"/>
      <c r="N151" s="2"/>
      <c r="O151" s="4" t="str">
        <f>IFERROR(VLOOKUP(P151,#REF!,2,0),"")</f>
        <v/>
      </c>
      <c r="P151" s="5"/>
      <c r="Q151" s="4" t="str">
        <f>+IFERROR(VLOOKUP(R151,#REF!,2,0),"")</f>
        <v/>
      </c>
      <c r="R151" s="5"/>
      <c r="S151" s="4" t="str">
        <f>+IFERROR(VLOOKUP(T151,#REF!,2,0),"")</f>
        <v/>
      </c>
      <c r="T151" s="5"/>
      <c r="U151" s="6" t="str">
        <f>IFERROR((VLOOKUP(P151,#REF!,2,0)*VLOOKUP(R151,#REF!,2,0)*VLOOKUP(T151,#REF!,2,0)),"")</f>
        <v/>
      </c>
    </row>
    <row r="152" spans="1:21" ht="15" x14ac:dyDescent="0.25">
      <c r="A152" s="2"/>
      <c r="B152" s="2"/>
      <c r="C152" s="2"/>
      <c r="D152" s="2"/>
      <c r="E152" s="4" t="str">
        <f>IFERROR(+VLOOKUP(F152,Indexes!$A$2:$B$8,2,0),"")</f>
        <v/>
      </c>
      <c r="F152" s="5"/>
      <c r="G152" s="4" t="str">
        <f>+IFERROR(VLOOKUP(H152,Indexes!$C$2:$D$8,2,0),"")</f>
        <v/>
      </c>
      <c r="H152" s="5"/>
      <c r="I152" s="4" t="str">
        <f>+IFERROR(VLOOKUP(J152,Indexes!$E$2:$F$8,2,0),"")</f>
        <v/>
      </c>
      <c r="J152" s="5"/>
      <c r="K152" s="6" t="e">
        <f t="shared" si="2"/>
        <v>#VALUE!</v>
      </c>
      <c r="L152" s="2"/>
      <c r="M152" s="2"/>
      <c r="N152" s="2"/>
      <c r="O152" s="4" t="str">
        <f>IFERROR(VLOOKUP(P152,#REF!,2,0),"")</f>
        <v/>
      </c>
      <c r="P152" s="5"/>
      <c r="Q152" s="4" t="str">
        <f>+IFERROR(VLOOKUP(R152,#REF!,2,0),"")</f>
        <v/>
      </c>
      <c r="R152" s="5"/>
      <c r="S152" s="4" t="str">
        <f>+IFERROR(VLOOKUP(T152,#REF!,2,0),"")</f>
        <v/>
      </c>
      <c r="T152" s="5"/>
      <c r="U152" s="6" t="str">
        <f>IFERROR((VLOOKUP(P152,#REF!,2,0)*VLOOKUP(R152,#REF!,2,0)*VLOOKUP(T152,#REF!,2,0)),"")</f>
        <v/>
      </c>
    </row>
    <row r="153" spans="1:21" ht="15" x14ac:dyDescent="0.25">
      <c r="A153" s="2"/>
      <c r="B153" s="2"/>
      <c r="C153" s="2"/>
      <c r="D153" s="2"/>
      <c r="E153" s="4" t="str">
        <f>IFERROR(+VLOOKUP(F153,Indexes!$A$2:$B$8,2,0),"")</f>
        <v/>
      </c>
      <c r="F153" s="5"/>
      <c r="G153" s="4" t="str">
        <f>+IFERROR(VLOOKUP(H153,Indexes!$C$2:$D$8,2,0),"")</f>
        <v/>
      </c>
      <c r="H153" s="5"/>
      <c r="I153" s="4" t="str">
        <f>+IFERROR(VLOOKUP(J153,Indexes!$E$2:$F$8,2,0),"")</f>
        <v/>
      </c>
      <c r="J153" s="5"/>
      <c r="K153" s="6" t="e">
        <f t="shared" si="2"/>
        <v>#VALUE!</v>
      </c>
      <c r="L153" s="2"/>
      <c r="M153" s="2"/>
      <c r="N153" s="2"/>
      <c r="O153" s="4" t="str">
        <f>IFERROR(VLOOKUP(P153,#REF!,2,0),"")</f>
        <v/>
      </c>
      <c r="P153" s="5"/>
      <c r="Q153" s="4" t="str">
        <f>+IFERROR(VLOOKUP(R153,#REF!,2,0),"")</f>
        <v/>
      </c>
      <c r="R153" s="5"/>
      <c r="S153" s="4" t="str">
        <f>+IFERROR(VLOOKUP(T153,#REF!,2,0),"")</f>
        <v/>
      </c>
      <c r="T153" s="5"/>
      <c r="U153" s="6" t="str">
        <f>IFERROR((VLOOKUP(P153,#REF!,2,0)*VLOOKUP(R153,#REF!,2,0)*VLOOKUP(T153,#REF!,2,0)),"")</f>
        <v/>
      </c>
    </row>
    <row r="154" spans="1:21" ht="15" x14ac:dyDescent="0.25">
      <c r="A154" s="2"/>
      <c r="B154" s="2"/>
      <c r="C154" s="2"/>
      <c r="D154" s="2"/>
      <c r="E154" s="4" t="str">
        <f>IFERROR(+VLOOKUP(F154,Indexes!$A$2:$B$8,2,0),"")</f>
        <v/>
      </c>
      <c r="F154" s="5"/>
      <c r="G154" s="4" t="str">
        <f>+IFERROR(VLOOKUP(H154,Indexes!$C$2:$D$8,2,0),"")</f>
        <v/>
      </c>
      <c r="H154" s="5"/>
      <c r="I154" s="4" t="str">
        <f>+IFERROR(VLOOKUP(J154,Indexes!$E$2:$F$8,2,0),"")</f>
        <v/>
      </c>
      <c r="J154" s="5"/>
      <c r="K154" s="6" t="e">
        <f t="shared" si="2"/>
        <v>#VALUE!</v>
      </c>
      <c r="L154" s="2"/>
      <c r="M154" s="2"/>
      <c r="N154" s="2"/>
      <c r="O154" s="4" t="str">
        <f>IFERROR(VLOOKUP(P154,#REF!,2,0),"")</f>
        <v/>
      </c>
      <c r="P154" s="5"/>
      <c r="Q154" s="4" t="str">
        <f>+IFERROR(VLOOKUP(R154,#REF!,2,0),"")</f>
        <v/>
      </c>
      <c r="R154" s="5"/>
      <c r="S154" s="4" t="str">
        <f>+IFERROR(VLOOKUP(T154,#REF!,2,0),"")</f>
        <v/>
      </c>
      <c r="T154" s="5"/>
      <c r="U154" s="6" t="str">
        <f>IFERROR((VLOOKUP(P154,#REF!,2,0)*VLOOKUP(R154,#REF!,2,0)*VLOOKUP(T154,#REF!,2,0)),"")</f>
        <v/>
      </c>
    </row>
    <row r="155" spans="1:21" ht="15" x14ac:dyDescent="0.25">
      <c r="A155" s="2"/>
      <c r="B155" s="2"/>
      <c r="C155" s="2"/>
      <c r="D155" s="2"/>
      <c r="E155" s="4" t="str">
        <f>IFERROR(+VLOOKUP(F155,Indexes!$A$2:$B$8,2,0),"")</f>
        <v/>
      </c>
      <c r="F155" s="5"/>
      <c r="G155" s="4" t="str">
        <f>+IFERROR(VLOOKUP(H155,Indexes!$C$2:$D$8,2,0),"")</f>
        <v/>
      </c>
      <c r="H155" s="5"/>
      <c r="I155" s="4" t="str">
        <f>+IFERROR(VLOOKUP(J155,Indexes!$E$2:$F$8,2,0),"")</f>
        <v/>
      </c>
      <c r="J155" s="5"/>
      <c r="K155" s="6" t="e">
        <f t="shared" si="2"/>
        <v>#VALUE!</v>
      </c>
      <c r="L155" s="2"/>
      <c r="M155" s="2"/>
      <c r="N155" s="2"/>
      <c r="O155" s="4" t="str">
        <f>IFERROR(VLOOKUP(P155,#REF!,2,0),"")</f>
        <v/>
      </c>
      <c r="P155" s="5"/>
      <c r="Q155" s="4" t="str">
        <f>+IFERROR(VLOOKUP(R155,#REF!,2,0),"")</f>
        <v/>
      </c>
      <c r="R155" s="5"/>
      <c r="S155" s="4" t="str">
        <f>+IFERROR(VLOOKUP(T155,#REF!,2,0),"")</f>
        <v/>
      </c>
      <c r="T155" s="5"/>
      <c r="U155" s="6" t="str">
        <f>IFERROR((VLOOKUP(P155,#REF!,2,0)*VLOOKUP(R155,#REF!,2,0)*VLOOKUP(T155,#REF!,2,0)),"")</f>
        <v/>
      </c>
    </row>
    <row r="156" spans="1:21" ht="15" x14ac:dyDescent="0.25">
      <c r="A156" s="2"/>
      <c r="B156" s="2"/>
      <c r="C156" s="2"/>
      <c r="D156" s="2"/>
      <c r="E156" s="4" t="str">
        <f>IFERROR(+VLOOKUP(F156,Indexes!$A$2:$B$8,2,0),"")</f>
        <v/>
      </c>
      <c r="F156" s="5"/>
      <c r="G156" s="4" t="str">
        <f>+IFERROR(VLOOKUP(H156,Indexes!$C$2:$D$8,2,0),"")</f>
        <v/>
      </c>
      <c r="H156" s="5"/>
      <c r="I156" s="4" t="str">
        <f>+IFERROR(VLOOKUP(J156,Indexes!$E$2:$F$8,2,0),"")</f>
        <v/>
      </c>
      <c r="J156" s="5"/>
      <c r="K156" s="6" t="e">
        <f t="shared" si="2"/>
        <v>#VALUE!</v>
      </c>
      <c r="L156" s="2"/>
      <c r="M156" s="2"/>
      <c r="N156" s="2"/>
      <c r="O156" s="4" t="str">
        <f>IFERROR(VLOOKUP(P156,#REF!,2,0),"")</f>
        <v/>
      </c>
      <c r="P156" s="5"/>
      <c r="Q156" s="4" t="str">
        <f>+IFERROR(VLOOKUP(R156,#REF!,2,0),"")</f>
        <v/>
      </c>
      <c r="R156" s="5"/>
      <c r="S156" s="4" t="str">
        <f>+IFERROR(VLOOKUP(T156,#REF!,2,0),"")</f>
        <v/>
      </c>
      <c r="T156" s="5"/>
      <c r="U156" s="6" t="str">
        <f>IFERROR((VLOOKUP(P156,#REF!,2,0)*VLOOKUP(R156,#REF!,2,0)*VLOOKUP(T156,#REF!,2,0)),"")</f>
        <v/>
      </c>
    </row>
    <row r="157" spans="1:21" ht="15" x14ac:dyDescent="0.25">
      <c r="A157" s="2"/>
      <c r="B157" s="2"/>
      <c r="C157" s="2"/>
      <c r="D157" s="2"/>
      <c r="E157" s="4" t="str">
        <f>IFERROR(+VLOOKUP(F157,Indexes!$A$2:$B$8,2,0),"")</f>
        <v/>
      </c>
      <c r="F157" s="5"/>
      <c r="G157" s="4" t="str">
        <f>+IFERROR(VLOOKUP(H157,Indexes!$C$2:$D$8,2,0),"")</f>
        <v/>
      </c>
      <c r="H157" s="5"/>
      <c r="I157" s="4" t="str">
        <f>+IFERROR(VLOOKUP(J157,Indexes!$E$2:$F$8,2,0),"")</f>
        <v/>
      </c>
      <c r="J157" s="5"/>
      <c r="K157" s="6" t="e">
        <f t="shared" si="2"/>
        <v>#VALUE!</v>
      </c>
      <c r="L157" s="2"/>
      <c r="M157" s="2"/>
      <c r="N157" s="2"/>
      <c r="O157" s="4" t="str">
        <f>IFERROR(VLOOKUP(P157,#REF!,2,0),"")</f>
        <v/>
      </c>
      <c r="P157" s="5"/>
      <c r="Q157" s="4" t="str">
        <f>+IFERROR(VLOOKUP(R157,#REF!,2,0),"")</f>
        <v/>
      </c>
      <c r="R157" s="5"/>
      <c r="S157" s="4" t="str">
        <f>+IFERROR(VLOOKUP(T157,#REF!,2,0),"")</f>
        <v/>
      </c>
      <c r="T157" s="5"/>
      <c r="U157" s="6" t="str">
        <f>IFERROR((VLOOKUP(P157,#REF!,2,0)*VLOOKUP(R157,#REF!,2,0)*VLOOKUP(T157,#REF!,2,0)),"")</f>
        <v/>
      </c>
    </row>
    <row r="158" spans="1:21" ht="15" x14ac:dyDescent="0.25">
      <c r="A158" s="2"/>
      <c r="B158" s="2"/>
      <c r="C158" s="2"/>
      <c r="D158" s="2"/>
      <c r="E158" s="4" t="str">
        <f>IFERROR(+VLOOKUP(F158,Indexes!$A$2:$B$8,2,0),"")</f>
        <v/>
      </c>
      <c r="F158" s="5"/>
      <c r="G158" s="4" t="str">
        <f>+IFERROR(VLOOKUP(H158,Indexes!$C$2:$D$8,2,0),"")</f>
        <v/>
      </c>
      <c r="H158" s="5"/>
      <c r="I158" s="4" t="str">
        <f>+IFERROR(VLOOKUP(J158,Indexes!$E$2:$F$8,2,0),"")</f>
        <v/>
      </c>
      <c r="J158" s="5"/>
      <c r="K158" s="6" t="e">
        <f t="shared" si="2"/>
        <v>#VALUE!</v>
      </c>
      <c r="L158" s="2"/>
      <c r="M158" s="2"/>
      <c r="N158" s="2"/>
      <c r="O158" s="4" t="str">
        <f>IFERROR(VLOOKUP(P158,#REF!,2,0),"")</f>
        <v/>
      </c>
      <c r="P158" s="5"/>
      <c r="Q158" s="4" t="str">
        <f>+IFERROR(VLOOKUP(R158,#REF!,2,0),"")</f>
        <v/>
      </c>
      <c r="R158" s="5"/>
      <c r="S158" s="4" t="str">
        <f>+IFERROR(VLOOKUP(T158,#REF!,2,0),"")</f>
        <v/>
      </c>
      <c r="T158" s="5"/>
      <c r="U158" s="6" t="str">
        <f>IFERROR((VLOOKUP(P158,#REF!,2,0)*VLOOKUP(R158,#REF!,2,0)*VLOOKUP(T158,#REF!,2,0)),"")</f>
        <v/>
      </c>
    </row>
    <row r="159" spans="1:21" ht="15" x14ac:dyDescent="0.25">
      <c r="A159" s="2"/>
      <c r="B159" s="2"/>
      <c r="C159" s="2"/>
      <c r="D159" s="2"/>
      <c r="E159" s="4" t="str">
        <f>IFERROR(+VLOOKUP(F159,Indexes!$A$2:$B$8,2,0),"")</f>
        <v/>
      </c>
      <c r="F159" s="5"/>
      <c r="G159" s="4" t="str">
        <f>+IFERROR(VLOOKUP(H159,Indexes!$C$2:$D$8,2,0),"")</f>
        <v/>
      </c>
      <c r="H159" s="5"/>
      <c r="I159" s="4" t="str">
        <f>+IFERROR(VLOOKUP(J159,Indexes!$E$2:$F$8,2,0),"")</f>
        <v/>
      </c>
      <c r="J159" s="5"/>
      <c r="K159" s="6" t="e">
        <f t="shared" si="2"/>
        <v>#VALUE!</v>
      </c>
      <c r="L159" s="2"/>
      <c r="M159" s="2"/>
      <c r="N159" s="2"/>
      <c r="O159" s="4" t="str">
        <f>IFERROR(VLOOKUP(P159,#REF!,2,0),"")</f>
        <v/>
      </c>
      <c r="P159" s="5"/>
      <c r="Q159" s="4" t="str">
        <f>+IFERROR(VLOOKUP(R159,#REF!,2,0),"")</f>
        <v/>
      </c>
      <c r="R159" s="5"/>
      <c r="S159" s="4" t="str">
        <f>+IFERROR(VLOOKUP(T159,#REF!,2,0),"")</f>
        <v/>
      </c>
      <c r="T159" s="5"/>
      <c r="U159" s="6" t="str">
        <f>IFERROR((VLOOKUP(P159,#REF!,2,0)*VLOOKUP(R159,#REF!,2,0)*VLOOKUP(T159,#REF!,2,0)),"")</f>
        <v/>
      </c>
    </row>
    <row r="160" spans="1:21" ht="15" x14ac:dyDescent="0.25">
      <c r="A160" s="2"/>
      <c r="B160" s="2"/>
      <c r="C160" s="2"/>
      <c r="D160" s="2"/>
      <c r="E160" s="4" t="str">
        <f>IFERROR(+VLOOKUP(F160,Indexes!$A$2:$B$8,2,0),"")</f>
        <v/>
      </c>
      <c r="F160" s="5"/>
      <c r="G160" s="4" t="str">
        <f>+IFERROR(VLOOKUP(H160,Indexes!$C$2:$D$8,2,0),"")</f>
        <v/>
      </c>
      <c r="H160" s="5"/>
      <c r="I160" s="4" t="str">
        <f>+IFERROR(VLOOKUP(J160,Indexes!$E$2:$F$8,2,0),"")</f>
        <v/>
      </c>
      <c r="J160" s="5"/>
      <c r="K160" s="6" t="e">
        <f t="shared" si="2"/>
        <v>#VALUE!</v>
      </c>
      <c r="L160" s="2"/>
      <c r="M160" s="2"/>
      <c r="N160" s="2"/>
      <c r="O160" s="4" t="str">
        <f>IFERROR(VLOOKUP(P160,#REF!,2,0),"")</f>
        <v/>
      </c>
      <c r="P160" s="5"/>
      <c r="Q160" s="4" t="str">
        <f>+IFERROR(VLOOKUP(R160,#REF!,2,0),"")</f>
        <v/>
      </c>
      <c r="R160" s="5"/>
      <c r="S160" s="4" t="str">
        <f>+IFERROR(VLOOKUP(T160,#REF!,2,0),"")</f>
        <v/>
      </c>
      <c r="T160" s="5"/>
      <c r="U160" s="6" t="str">
        <f>IFERROR((VLOOKUP(P160,#REF!,2,0)*VLOOKUP(R160,#REF!,2,0)*VLOOKUP(T160,#REF!,2,0)),"")</f>
        <v/>
      </c>
    </row>
    <row r="161" spans="1:21" ht="15" x14ac:dyDescent="0.25">
      <c r="A161" s="2"/>
      <c r="B161" s="2"/>
      <c r="C161" s="2"/>
      <c r="D161" s="2"/>
      <c r="E161" s="4" t="str">
        <f>IFERROR(+VLOOKUP(F161,Indexes!$A$2:$B$8,2,0),"")</f>
        <v/>
      </c>
      <c r="F161" s="5"/>
      <c r="G161" s="4" t="str">
        <f>+IFERROR(VLOOKUP(H161,Indexes!$C$2:$D$8,2,0),"")</f>
        <v/>
      </c>
      <c r="H161" s="5"/>
      <c r="I161" s="4" t="str">
        <f>+IFERROR(VLOOKUP(J161,Indexes!$E$2:$F$8,2,0),"")</f>
        <v/>
      </c>
      <c r="J161" s="5"/>
      <c r="K161" s="6" t="e">
        <f t="shared" si="2"/>
        <v>#VALUE!</v>
      </c>
      <c r="L161" s="2"/>
      <c r="M161" s="2"/>
      <c r="N161" s="2"/>
      <c r="O161" s="4" t="str">
        <f>IFERROR(VLOOKUP(P161,#REF!,2,0),"")</f>
        <v/>
      </c>
      <c r="P161" s="5"/>
      <c r="Q161" s="4" t="str">
        <f>+IFERROR(VLOOKUP(R161,#REF!,2,0),"")</f>
        <v/>
      </c>
      <c r="R161" s="5"/>
      <c r="S161" s="4" t="str">
        <f>+IFERROR(VLOOKUP(T161,#REF!,2,0),"")</f>
        <v/>
      </c>
      <c r="T161" s="5"/>
      <c r="U161" s="6" t="str">
        <f>IFERROR((VLOOKUP(P161,#REF!,2,0)*VLOOKUP(R161,#REF!,2,0)*VLOOKUP(T161,#REF!,2,0)),"")</f>
        <v/>
      </c>
    </row>
    <row r="162" spans="1:21" ht="15" x14ac:dyDescent="0.25">
      <c r="A162" s="2"/>
      <c r="B162" s="2"/>
      <c r="C162" s="2"/>
      <c r="D162" s="2"/>
      <c r="E162" s="4" t="str">
        <f>IFERROR(+VLOOKUP(F162,Indexes!$A$2:$B$8,2,0),"")</f>
        <v/>
      </c>
      <c r="F162" s="5"/>
      <c r="G162" s="4" t="str">
        <f>+IFERROR(VLOOKUP(H162,Indexes!$C$2:$D$8,2,0),"")</f>
        <v/>
      </c>
      <c r="H162" s="5"/>
      <c r="I162" s="4" t="str">
        <f>+IFERROR(VLOOKUP(J162,Indexes!$E$2:$F$8,2,0),"")</f>
        <v/>
      </c>
      <c r="J162" s="5"/>
      <c r="K162" s="6" t="e">
        <f t="shared" si="2"/>
        <v>#VALUE!</v>
      </c>
      <c r="L162" s="2"/>
      <c r="M162" s="2"/>
      <c r="N162" s="2"/>
      <c r="O162" s="4" t="str">
        <f>IFERROR(VLOOKUP(P162,#REF!,2,0),"")</f>
        <v/>
      </c>
      <c r="P162" s="5"/>
      <c r="Q162" s="4" t="str">
        <f>+IFERROR(VLOOKUP(R162,#REF!,2,0),"")</f>
        <v/>
      </c>
      <c r="R162" s="5"/>
      <c r="S162" s="4" t="str">
        <f>+IFERROR(VLOOKUP(T162,#REF!,2,0),"")</f>
        <v/>
      </c>
      <c r="T162" s="5"/>
      <c r="U162" s="6" t="str">
        <f>IFERROR((VLOOKUP(P162,#REF!,2,0)*VLOOKUP(R162,#REF!,2,0)*VLOOKUP(T162,#REF!,2,0)),"")</f>
        <v/>
      </c>
    </row>
    <row r="163" spans="1:21" ht="15" x14ac:dyDescent="0.25">
      <c r="A163" s="2"/>
      <c r="B163" s="2"/>
      <c r="C163" s="2"/>
      <c r="D163" s="2"/>
      <c r="E163" s="4" t="str">
        <f>IFERROR(+VLOOKUP(F163,Indexes!$A$2:$B$8,2,0),"")</f>
        <v/>
      </c>
      <c r="F163" s="5"/>
      <c r="G163" s="4" t="str">
        <f>+IFERROR(VLOOKUP(H163,Indexes!$C$2:$D$8,2,0),"")</f>
        <v/>
      </c>
      <c r="H163" s="5"/>
      <c r="I163" s="4" t="str">
        <f>+IFERROR(VLOOKUP(J163,Indexes!$E$2:$F$8,2,0),"")</f>
        <v/>
      </c>
      <c r="J163" s="5"/>
      <c r="K163" s="6" t="e">
        <f t="shared" si="2"/>
        <v>#VALUE!</v>
      </c>
      <c r="L163" s="2"/>
      <c r="M163" s="2"/>
      <c r="N163" s="2"/>
      <c r="O163" s="4" t="str">
        <f>IFERROR(VLOOKUP(P163,#REF!,2,0),"")</f>
        <v/>
      </c>
      <c r="P163" s="5"/>
      <c r="Q163" s="4" t="str">
        <f>+IFERROR(VLOOKUP(R163,#REF!,2,0),"")</f>
        <v/>
      </c>
      <c r="R163" s="5"/>
      <c r="S163" s="4" t="str">
        <f>+IFERROR(VLOOKUP(T163,#REF!,2,0),"")</f>
        <v/>
      </c>
      <c r="T163" s="5"/>
      <c r="U163" s="6" t="str">
        <f>IFERROR((VLOOKUP(P163,#REF!,2,0)*VLOOKUP(R163,#REF!,2,0)*VLOOKUP(T163,#REF!,2,0)),"")</f>
        <v/>
      </c>
    </row>
    <row r="164" spans="1:21" ht="15" x14ac:dyDescent="0.25">
      <c r="A164" s="2"/>
      <c r="B164" s="2"/>
      <c r="C164" s="2"/>
      <c r="D164" s="2"/>
      <c r="E164" s="4" t="str">
        <f>IFERROR(+VLOOKUP(F164,Indexes!$A$2:$B$8,2,0),"")</f>
        <v/>
      </c>
      <c r="F164" s="5"/>
      <c r="G164" s="4" t="str">
        <f>+IFERROR(VLOOKUP(H164,Indexes!$C$2:$D$8,2,0),"")</f>
        <v/>
      </c>
      <c r="H164" s="5"/>
      <c r="I164" s="4" t="str">
        <f>+IFERROR(VLOOKUP(J164,Indexes!$E$2:$F$8,2,0),"")</f>
        <v/>
      </c>
      <c r="J164" s="5"/>
      <c r="K164" s="6" t="e">
        <f t="shared" si="2"/>
        <v>#VALUE!</v>
      </c>
      <c r="L164" s="2"/>
      <c r="M164" s="2"/>
      <c r="N164" s="2"/>
      <c r="O164" s="4" t="str">
        <f>IFERROR(VLOOKUP(P164,#REF!,2,0),"")</f>
        <v/>
      </c>
      <c r="P164" s="5"/>
      <c r="Q164" s="4" t="str">
        <f>+IFERROR(VLOOKUP(R164,#REF!,2,0),"")</f>
        <v/>
      </c>
      <c r="R164" s="5"/>
      <c r="S164" s="4" t="str">
        <f>+IFERROR(VLOOKUP(T164,#REF!,2,0),"")</f>
        <v/>
      </c>
      <c r="T164" s="5"/>
      <c r="U164" s="6" t="str">
        <f>IFERROR((VLOOKUP(P164,#REF!,2,0)*VLOOKUP(R164,#REF!,2,0)*VLOOKUP(T164,#REF!,2,0)),"")</f>
        <v/>
      </c>
    </row>
    <row r="165" spans="1:21" ht="15" x14ac:dyDescent="0.25">
      <c r="A165" s="2"/>
      <c r="B165" s="2"/>
      <c r="C165" s="2"/>
      <c r="D165" s="2"/>
      <c r="E165" s="4" t="str">
        <f>IFERROR(+VLOOKUP(F165,Indexes!$A$2:$B$8,2,0),"")</f>
        <v/>
      </c>
      <c r="F165" s="5"/>
      <c r="G165" s="4" t="str">
        <f>+IFERROR(VLOOKUP(H165,Indexes!$C$2:$D$8,2,0),"")</f>
        <v/>
      </c>
      <c r="H165" s="5"/>
      <c r="I165" s="4" t="str">
        <f>+IFERROR(VLOOKUP(J165,Indexes!$E$2:$F$8,2,0),"")</f>
        <v/>
      </c>
      <c r="J165" s="5"/>
      <c r="K165" s="6" t="e">
        <f t="shared" si="2"/>
        <v>#VALUE!</v>
      </c>
      <c r="L165" s="2"/>
      <c r="M165" s="2"/>
      <c r="N165" s="2"/>
      <c r="O165" s="4" t="str">
        <f>IFERROR(VLOOKUP(P165,#REF!,2,0),"")</f>
        <v/>
      </c>
      <c r="P165" s="5"/>
      <c r="Q165" s="4" t="str">
        <f>+IFERROR(VLOOKUP(R165,#REF!,2,0),"")</f>
        <v/>
      </c>
      <c r="R165" s="5"/>
      <c r="S165" s="4" t="str">
        <f>+IFERROR(VLOOKUP(T165,#REF!,2,0),"")</f>
        <v/>
      </c>
      <c r="T165" s="5"/>
      <c r="U165" s="6" t="str">
        <f>IFERROR((VLOOKUP(P165,#REF!,2,0)*VLOOKUP(R165,#REF!,2,0)*VLOOKUP(T165,#REF!,2,0)),"")</f>
        <v/>
      </c>
    </row>
    <row r="166" spans="1:21" ht="15" x14ac:dyDescent="0.25">
      <c r="A166" s="2"/>
      <c r="B166" s="2"/>
      <c r="C166" s="2"/>
      <c r="D166" s="2"/>
      <c r="E166" s="4" t="str">
        <f>IFERROR(+VLOOKUP(F166,Indexes!$A$2:$B$8,2,0),"")</f>
        <v/>
      </c>
      <c r="F166" s="5"/>
      <c r="G166" s="4" t="str">
        <f>+IFERROR(VLOOKUP(H166,Indexes!$C$2:$D$8,2,0),"")</f>
        <v/>
      </c>
      <c r="H166" s="5"/>
      <c r="I166" s="4" t="str">
        <f>+IFERROR(VLOOKUP(J166,Indexes!$E$2:$F$8,2,0),"")</f>
        <v/>
      </c>
      <c r="J166" s="5"/>
      <c r="K166" s="6" t="e">
        <f t="shared" si="2"/>
        <v>#VALUE!</v>
      </c>
      <c r="L166" s="2"/>
      <c r="M166" s="2"/>
      <c r="N166" s="2"/>
      <c r="O166" s="4" t="str">
        <f>IFERROR(VLOOKUP(P166,#REF!,2,0),"")</f>
        <v/>
      </c>
      <c r="P166" s="5"/>
      <c r="Q166" s="4" t="str">
        <f>+IFERROR(VLOOKUP(R166,#REF!,2,0),"")</f>
        <v/>
      </c>
      <c r="R166" s="5"/>
      <c r="S166" s="4" t="str">
        <f>+IFERROR(VLOOKUP(T166,#REF!,2,0),"")</f>
        <v/>
      </c>
      <c r="T166" s="5"/>
      <c r="U166" s="6" t="str">
        <f>IFERROR((VLOOKUP(P166,#REF!,2,0)*VLOOKUP(R166,#REF!,2,0)*VLOOKUP(T166,#REF!,2,0)),"")</f>
        <v/>
      </c>
    </row>
    <row r="167" spans="1:21" ht="15" x14ac:dyDescent="0.25">
      <c r="A167" s="2"/>
      <c r="B167" s="2"/>
      <c r="C167" s="2"/>
      <c r="D167" s="2"/>
      <c r="E167" s="4" t="str">
        <f>IFERROR(+VLOOKUP(F167,Indexes!$A$2:$B$8,2,0),"")</f>
        <v/>
      </c>
      <c r="F167" s="5"/>
      <c r="G167" s="4" t="str">
        <f>+IFERROR(VLOOKUP(H167,Indexes!$C$2:$D$8,2,0),"")</f>
        <v/>
      </c>
      <c r="H167" s="5"/>
      <c r="I167" s="4" t="str">
        <f>+IFERROR(VLOOKUP(J167,Indexes!$E$2:$F$8,2,0),"")</f>
        <v/>
      </c>
      <c r="J167" s="5"/>
      <c r="K167" s="6" t="e">
        <f t="shared" si="2"/>
        <v>#VALUE!</v>
      </c>
      <c r="L167" s="2"/>
      <c r="M167" s="2"/>
      <c r="N167" s="2"/>
      <c r="O167" s="4" t="str">
        <f>IFERROR(VLOOKUP(P167,#REF!,2,0),"")</f>
        <v/>
      </c>
      <c r="P167" s="5"/>
      <c r="Q167" s="4" t="str">
        <f>+IFERROR(VLOOKUP(R167,#REF!,2,0),"")</f>
        <v/>
      </c>
      <c r="R167" s="5"/>
      <c r="S167" s="4" t="str">
        <f>+IFERROR(VLOOKUP(T167,#REF!,2,0),"")</f>
        <v/>
      </c>
      <c r="T167" s="5"/>
      <c r="U167" s="6" t="str">
        <f>IFERROR((VLOOKUP(P167,#REF!,2,0)*VLOOKUP(R167,#REF!,2,0)*VLOOKUP(T167,#REF!,2,0)),"")</f>
        <v/>
      </c>
    </row>
    <row r="168" spans="1:21" ht="15" x14ac:dyDescent="0.25">
      <c r="A168" s="2"/>
      <c r="B168" s="2"/>
      <c r="C168" s="2"/>
      <c r="D168" s="2"/>
      <c r="E168" s="4" t="str">
        <f>IFERROR(+VLOOKUP(F168,Indexes!$A$2:$B$8,2,0),"")</f>
        <v/>
      </c>
      <c r="F168" s="5"/>
      <c r="G168" s="4" t="str">
        <f>+IFERROR(VLOOKUP(H168,Indexes!$C$2:$D$8,2,0),"")</f>
        <v/>
      </c>
      <c r="H168" s="5"/>
      <c r="I168" s="4" t="str">
        <f>+IFERROR(VLOOKUP(J168,Indexes!$E$2:$F$8,2,0),"")</f>
        <v/>
      </c>
      <c r="J168" s="5"/>
      <c r="K168" s="6" t="e">
        <f t="shared" si="2"/>
        <v>#VALUE!</v>
      </c>
      <c r="L168" s="2"/>
      <c r="M168" s="2"/>
      <c r="N168" s="2"/>
      <c r="O168" s="4" t="str">
        <f>IFERROR(VLOOKUP(P168,#REF!,2,0),"")</f>
        <v/>
      </c>
      <c r="P168" s="5"/>
      <c r="Q168" s="4" t="str">
        <f>+IFERROR(VLOOKUP(R168,#REF!,2,0),"")</f>
        <v/>
      </c>
      <c r="R168" s="5"/>
      <c r="S168" s="4" t="str">
        <f>+IFERROR(VLOOKUP(T168,#REF!,2,0),"")</f>
        <v/>
      </c>
      <c r="T168" s="5"/>
      <c r="U168" s="6" t="str">
        <f>IFERROR((VLOOKUP(P168,#REF!,2,0)*VLOOKUP(R168,#REF!,2,0)*VLOOKUP(T168,#REF!,2,0)),"")</f>
        <v/>
      </c>
    </row>
    <row r="169" spans="1:21" ht="15" x14ac:dyDescent="0.25">
      <c r="A169" s="2"/>
      <c r="B169" s="2"/>
      <c r="C169" s="2"/>
      <c r="D169" s="2"/>
      <c r="E169" s="4" t="str">
        <f>IFERROR(+VLOOKUP(F169,Indexes!$A$2:$B$8,2,0),"")</f>
        <v/>
      </c>
      <c r="F169" s="5"/>
      <c r="G169" s="4" t="str">
        <f>+IFERROR(VLOOKUP(H169,Indexes!$C$2:$D$8,2,0),"")</f>
        <v/>
      </c>
      <c r="H169" s="5"/>
      <c r="I169" s="4" t="str">
        <f>+IFERROR(VLOOKUP(J169,Indexes!$E$2:$F$8,2,0),"")</f>
        <v/>
      </c>
      <c r="J169" s="5"/>
      <c r="K169" s="6" t="e">
        <f t="shared" si="2"/>
        <v>#VALUE!</v>
      </c>
      <c r="L169" s="2"/>
      <c r="M169" s="2"/>
      <c r="N169" s="2"/>
      <c r="O169" s="4" t="str">
        <f>IFERROR(VLOOKUP(P169,#REF!,2,0),"")</f>
        <v/>
      </c>
      <c r="P169" s="5"/>
      <c r="Q169" s="4" t="str">
        <f>+IFERROR(VLOOKUP(R169,#REF!,2,0),"")</f>
        <v/>
      </c>
      <c r="R169" s="5"/>
      <c r="S169" s="4" t="str">
        <f>+IFERROR(VLOOKUP(T169,#REF!,2,0),"")</f>
        <v/>
      </c>
      <c r="T169" s="5"/>
      <c r="U169" s="6" t="str">
        <f>IFERROR((VLOOKUP(P169,#REF!,2,0)*VLOOKUP(R169,#REF!,2,0)*VLOOKUP(T169,#REF!,2,0)),"")</f>
        <v/>
      </c>
    </row>
    <row r="170" spans="1:21" ht="15" x14ac:dyDescent="0.25">
      <c r="A170" s="2"/>
      <c r="B170" s="2"/>
      <c r="C170" s="2"/>
      <c r="D170" s="2"/>
      <c r="E170" s="4" t="str">
        <f>IFERROR(+VLOOKUP(F170,Indexes!$A$2:$B$8,2,0),"")</f>
        <v/>
      </c>
      <c r="F170" s="5"/>
      <c r="G170" s="4" t="str">
        <f>+IFERROR(VLOOKUP(H170,Indexes!$C$2:$D$8,2,0),"")</f>
        <v/>
      </c>
      <c r="H170" s="5"/>
      <c r="I170" s="4" t="str">
        <f>+IFERROR(VLOOKUP(J170,Indexes!$E$2:$F$8,2,0),"")</f>
        <v/>
      </c>
      <c r="J170" s="5"/>
      <c r="K170" s="6" t="e">
        <f t="shared" si="2"/>
        <v>#VALUE!</v>
      </c>
      <c r="L170" s="2"/>
      <c r="M170" s="2"/>
      <c r="N170" s="2"/>
      <c r="O170" s="4" t="str">
        <f>IFERROR(VLOOKUP(P170,#REF!,2,0),"")</f>
        <v/>
      </c>
      <c r="P170" s="5"/>
      <c r="Q170" s="4" t="str">
        <f>+IFERROR(VLOOKUP(R170,#REF!,2,0),"")</f>
        <v/>
      </c>
      <c r="R170" s="5"/>
      <c r="S170" s="4" t="str">
        <f>+IFERROR(VLOOKUP(T170,#REF!,2,0),"")</f>
        <v/>
      </c>
      <c r="T170" s="5"/>
      <c r="U170" s="6" t="str">
        <f>IFERROR((VLOOKUP(P170,#REF!,2,0)*VLOOKUP(R170,#REF!,2,0)*VLOOKUP(T170,#REF!,2,0)),"")</f>
        <v/>
      </c>
    </row>
    <row r="171" spans="1:21" ht="15" x14ac:dyDescent="0.25">
      <c r="A171" s="2"/>
      <c r="B171" s="2"/>
      <c r="C171" s="2"/>
      <c r="D171" s="2"/>
      <c r="E171" s="4" t="str">
        <f>IFERROR(+VLOOKUP(F171,Indexes!$A$2:$B$8,2,0),"")</f>
        <v/>
      </c>
      <c r="F171" s="5"/>
      <c r="G171" s="4" t="str">
        <f>+IFERROR(VLOOKUP(H171,Indexes!$C$2:$D$8,2,0),"")</f>
        <v/>
      </c>
      <c r="H171" s="5"/>
      <c r="I171" s="4" t="str">
        <f>+IFERROR(VLOOKUP(J171,Indexes!$E$2:$F$8,2,0),"")</f>
        <v/>
      </c>
      <c r="J171" s="5"/>
      <c r="K171" s="6" t="e">
        <f t="shared" si="2"/>
        <v>#VALUE!</v>
      </c>
      <c r="L171" s="2"/>
      <c r="M171" s="2"/>
      <c r="N171" s="2"/>
      <c r="O171" s="4" t="str">
        <f>IFERROR(VLOOKUP(P171,#REF!,2,0),"")</f>
        <v/>
      </c>
      <c r="P171" s="5"/>
      <c r="Q171" s="4" t="str">
        <f>+IFERROR(VLOOKUP(R171,#REF!,2,0),"")</f>
        <v/>
      </c>
      <c r="R171" s="5"/>
      <c r="S171" s="4" t="str">
        <f>+IFERROR(VLOOKUP(T171,#REF!,2,0),"")</f>
        <v/>
      </c>
      <c r="T171" s="5"/>
      <c r="U171" s="6" t="str">
        <f>IFERROR((VLOOKUP(P171,#REF!,2,0)*VLOOKUP(R171,#REF!,2,0)*VLOOKUP(T171,#REF!,2,0)),"")</f>
        <v/>
      </c>
    </row>
    <row r="172" spans="1:21" ht="15" x14ac:dyDescent="0.25">
      <c r="A172" s="2"/>
      <c r="B172" s="2"/>
      <c r="C172" s="2"/>
      <c r="D172" s="2"/>
      <c r="E172" s="4" t="str">
        <f>IFERROR(+VLOOKUP(F172,Indexes!$A$2:$B$8,2,0),"")</f>
        <v/>
      </c>
      <c r="F172" s="5"/>
      <c r="G172" s="4" t="str">
        <f>+IFERROR(VLOOKUP(H172,Indexes!$C$2:$D$8,2,0),"")</f>
        <v/>
      </c>
      <c r="H172" s="5"/>
      <c r="I172" s="4" t="str">
        <f>+IFERROR(VLOOKUP(J172,Indexes!$E$2:$F$8,2,0),"")</f>
        <v/>
      </c>
      <c r="J172" s="5"/>
      <c r="K172" s="6" t="e">
        <f t="shared" si="2"/>
        <v>#VALUE!</v>
      </c>
      <c r="L172" s="2"/>
      <c r="M172" s="2"/>
      <c r="N172" s="2"/>
      <c r="O172" s="4" t="str">
        <f>IFERROR(VLOOKUP(P172,#REF!,2,0),"")</f>
        <v/>
      </c>
      <c r="P172" s="5"/>
      <c r="Q172" s="4" t="str">
        <f>+IFERROR(VLOOKUP(R172,#REF!,2,0),"")</f>
        <v/>
      </c>
      <c r="R172" s="5"/>
      <c r="S172" s="4" t="str">
        <f>+IFERROR(VLOOKUP(T172,#REF!,2,0),"")</f>
        <v/>
      </c>
      <c r="T172" s="5"/>
      <c r="U172" s="6" t="str">
        <f>IFERROR((VLOOKUP(P172,#REF!,2,0)*VLOOKUP(R172,#REF!,2,0)*VLOOKUP(T172,#REF!,2,0)),"")</f>
        <v/>
      </c>
    </row>
    <row r="173" spans="1:21" ht="15" x14ac:dyDescent="0.25">
      <c r="A173" s="2"/>
      <c r="B173" s="2"/>
      <c r="C173" s="2"/>
      <c r="D173" s="2"/>
      <c r="E173" s="4" t="str">
        <f>IFERROR(+VLOOKUP(F173,Indexes!$A$2:$B$8,2,0),"")</f>
        <v/>
      </c>
      <c r="F173" s="5"/>
      <c r="G173" s="4" t="str">
        <f>+IFERROR(VLOOKUP(H173,Indexes!$C$2:$D$8,2,0),"")</f>
        <v/>
      </c>
      <c r="H173" s="5"/>
      <c r="I173" s="4" t="str">
        <f>+IFERROR(VLOOKUP(J173,Indexes!$E$2:$F$8,2,0),"")</f>
        <v/>
      </c>
      <c r="J173" s="5"/>
      <c r="K173" s="6" t="e">
        <f t="shared" si="2"/>
        <v>#VALUE!</v>
      </c>
      <c r="L173" s="2"/>
      <c r="M173" s="2"/>
      <c r="N173" s="2"/>
      <c r="O173" s="4" t="str">
        <f>IFERROR(VLOOKUP(P173,#REF!,2,0),"")</f>
        <v/>
      </c>
      <c r="P173" s="5"/>
      <c r="Q173" s="4" t="str">
        <f>+IFERROR(VLOOKUP(R173,#REF!,2,0),"")</f>
        <v/>
      </c>
      <c r="R173" s="5"/>
      <c r="S173" s="4" t="str">
        <f>+IFERROR(VLOOKUP(T173,#REF!,2,0),"")</f>
        <v/>
      </c>
      <c r="T173" s="5"/>
      <c r="U173" s="6" t="str">
        <f>IFERROR((VLOOKUP(P173,#REF!,2,0)*VLOOKUP(R173,#REF!,2,0)*VLOOKUP(T173,#REF!,2,0)),"")</f>
        <v/>
      </c>
    </row>
    <row r="174" spans="1:21" ht="15" x14ac:dyDescent="0.25">
      <c r="A174" s="2"/>
      <c r="B174" s="2"/>
      <c r="C174" s="2"/>
      <c r="D174" s="2"/>
      <c r="E174" s="4" t="str">
        <f>IFERROR(+VLOOKUP(F174,Indexes!$A$2:$B$8,2,0),"")</f>
        <v/>
      </c>
      <c r="F174" s="5"/>
      <c r="G174" s="4" t="str">
        <f>+IFERROR(VLOOKUP(H174,Indexes!$C$2:$D$8,2,0),"")</f>
        <v/>
      </c>
      <c r="H174" s="5"/>
      <c r="I174" s="4" t="str">
        <f>+IFERROR(VLOOKUP(J174,Indexes!$E$2:$F$8,2,0),"")</f>
        <v/>
      </c>
      <c r="J174" s="5"/>
      <c r="K174" s="6" t="e">
        <f t="shared" si="2"/>
        <v>#VALUE!</v>
      </c>
      <c r="L174" s="2"/>
      <c r="M174" s="2"/>
      <c r="N174" s="2"/>
      <c r="O174" s="4" t="str">
        <f>IFERROR(VLOOKUP(P174,#REF!,2,0),"")</f>
        <v/>
      </c>
      <c r="P174" s="5"/>
      <c r="Q174" s="4" t="str">
        <f>+IFERROR(VLOOKUP(R174,#REF!,2,0),"")</f>
        <v/>
      </c>
      <c r="R174" s="5"/>
      <c r="S174" s="4" t="str">
        <f>+IFERROR(VLOOKUP(T174,#REF!,2,0),"")</f>
        <v/>
      </c>
      <c r="T174" s="5"/>
      <c r="U174" s="6" t="str">
        <f>IFERROR((VLOOKUP(P174,#REF!,2,0)*VLOOKUP(R174,#REF!,2,0)*VLOOKUP(T174,#REF!,2,0)),"")</f>
        <v/>
      </c>
    </row>
    <row r="175" spans="1:21" ht="15" x14ac:dyDescent="0.25">
      <c r="A175" s="2"/>
      <c r="B175" s="2"/>
      <c r="C175" s="2"/>
      <c r="D175" s="2"/>
      <c r="E175" s="4" t="str">
        <f>IFERROR(+VLOOKUP(F175,Indexes!$A$2:$B$8,2,0),"")</f>
        <v/>
      </c>
      <c r="F175" s="5"/>
      <c r="G175" s="4" t="str">
        <f>+IFERROR(VLOOKUP(H175,Indexes!$C$2:$D$8,2,0),"")</f>
        <v/>
      </c>
      <c r="H175" s="5"/>
      <c r="I175" s="4" t="str">
        <f>+IFERROR(VLOOKUP(J175,Indexes!$E$2:$F$8,2,0),"")</f>
        <v/>
      </c>
      <c r="J175" s="5"/>
      <c r="K175" s="6" t="e">
        <f t="shared" si="2"/>
        <v>#VALUE!</v>
      </c>
      <c r="L175" s="2"/>
      <c r="M175" s="2"/>
      <c r="N175" s="2"/>
      <c r="O175" s="4" t="str">
        <f>IFERROR(VLOOKUP(P175,#REF!,2,0),"")</f>
        <v/>
      </c>
      <c r="P175" s="5"/>
      <c r="Q175" s="4" t="str">
        <f>+IFERROR(VLOOKUP(R175,#REF!,2,0),"")</f>
        <v/>
      </c>
      <c r="R175" s="5"/>
      <c r="S175" s="4" t="str">
        <f>+IFERROR(VLOOKUP(T175,#REF!,2,0),"")</f>
        <v/>
      </c>
      <c r="T175" s="5"/>
      <c r="U175" s="6" t="str">
        <f>IFERROR((VLOOKUP(P175,#REF!,2,0)*VLOOKUP(R175,#REF!,2,0)*VLOOKUP(T175,#REF!,2,0)),"")</f>
        <v/>
      </c>
    </row>
    <row r="176" spans="1:21" ht="15" x14ac:dyDescent="0.25">
      <c r="A176" s="2"/>
      <c r="B176" s="2"/>
      <c r="C176" s="2"/>
      <c r="D176" s="2"/>
      <c r="E176" s="4" t="str">
        <f>IFERROR(+VLOOKUP(F176,Indexes!$A$2:$B$8,2,0),"")</f>
        <v/>
      </c>
      <c r="F176" s="5"/>
      <c r="G176" s="4" t="str">
        <f>+IFERROR(VLOOKUP(H176,Indexes!$C$2:$D$8,2,0),"")</f>
        <v/>
      </c>
      <c r="H176" s="5"/>
      <c r="I176" s="4" t="str">
        <f>+IFERROR(VLOOKUP(J176,Indexes!$E$2:$F$8,2,0),"")</f>
        <v/>
      </c>
      <c r="J176" s="5"/>
      <c r="K176" s="6" t="e">
        <f t="shared" si="2"/>
        <v>#VALUE!</v>
      </c>
      <c r="L176" s="2"/>
      <c r="M176" s="2"/>
      <c r="N176" s="2"/>
      <c r="O176" s="4" t="str">
        <f>IFERROR(VLOOKUP(P176,#REF!,2,0),"")</f>
        <v/>
      </c>
      <c r="P176" s="5"/>
      <c r="Q176" s="4" t="str">
        <f>+IFERROR(VLOOKUP(R176,#REF!,2,0),"")</f>
        <v/>
      </c>
      <c r="R176" s="5"/>
      <c r="S176" s="4" t="str">
        <f>+IFERROR(VLOOKUP(T176,#REF!,2,0),"")</f>
        <v/>
      </c>
      <c r="T176" s="5"/>
      <c r="U176" s="6" t="str">
        <f>IFERROR((VLOOKUP(P176,#REF!,2,0)*VLOOKUP(R176,#REF!,2,0)*VLOOKUP(T176,#REF!,2,0)),"")</f>
        <v/>
      </c>
    </row>
    <row r="177" spans="1:21" ht="15" x14ac:dyDescent="0.25">
      <c r="A177" s="2"/>
      <c r="B177" s="2"/>
      <c r="C177" s="2"/>
      <c r="D177" s="2"/>
      <c r="E177" s="4" t="str">
        <f>IFERROR(+VLOOKUP(F177,Indexes!$A$2:$B$8,2,0),"")</f>
        <v/>
      </c>
      <c r="F177" s="5"/>
      <c r="G177" s="4" t="str">
        <f>+IFERROR(VLOOKUP(H177,Indexes!$C$2:$D$8,2,0),"")</f>
        <v/>
      </c>
      <c r="H177" s="5"/>
      <c r="I177" s="4" t="str">
        <f>+IFERROR(VLOOKUP(J177,Indexes!$E$2:$F$8,2,0),"")</f>
        <v/>
      </c>
      <c r="J177" s="5"/>
      <c r="K177" s="6" t="e">
        <f t="shared" si="2"/>
        <v>#VALUE!</v>
      </c>
      <c r="L177" s="2"/>
      <c r="M177" s="2"/>
      <c r="N177" s="2"/>
      <c r="O177" s="4" t="str">
        <f>IFERROR(VLOOKUP(P177,#REF!,2,0),"")</f>
        <v/>
      </c>
      <c r="P177" s="5"/>
      <c r="Q177" s="4" t="str">
        <f>+IFERROR(VLOOKUP(R177,#REF!,2,0),"")</f>
        <v/>
      </c>
      <c r="R177" s="5"/>
      <c r="S177" s="4" t="str">
        <f>+IFERROR(VLOOKUP(T177,#REF!,2,0),"")</f>
        <v/>
      </c>
      <c r="T177" s="5"/>
      <c r="U177" s="6" t="str">
        <f>IFERROR((VLOOKUP(P177,#REF!,2,0)*VLOOKUP(R177,#REF!,2,0)*VLOOKUP(T177,#REF!,2,0)),"")</f>
        <v/>
      </c>
    </row>
    <row r="178" spans="1:21" ht="15" x14ac:dyDescent="0.25">
      <c r="A178" s="2"/>
      <c r="B178" s="2"/>
      <c r="C178" s="2"/>
      <c r="D178" s="2"/>
      <c r="E178" s="4" t="str">
        <f>IFERROR(+VLOOKUP(F178,Indexes!$A$2:$B$8,2,0),"")</f>
        <v/>
      </c>
      <c r="F178" s="5"/>
      <c r="G178" s="4" t="str">
        <f>+IFERROR(VLOOKUP(H178,Indexes!$C$2:$D$8,2,0),"")</f>
        <v/>
      </c>
      <c r="H178" s="5"/>
      <c r="I178" s="4" t="str">
        <f>+IFERROR(VLOOKUP(J178,Indexes!$E$2:$F$8,2,0),"")</f>
        <v/>
      </c>
      <c r="J178" s="5"/>
      <c r="K178" s="6" t="e">
        <f t="shared" si="2"/>
        <v>#VALUE!</v>
      </c>
      <c r="L178" s="2"/>
      <c r="M178" s="2"/>
      <c r="N178" s="2"/>
      <c r="O178" s="4" t="str">
        <f>IFERROR(VLOOKUP(P178,#REF!,2,0),"")</f>
        <v/>
      </c>
      <c r="P178" s="5"/>
      <c r="Q178" s="4" t="str">
        <f>+IFERROR(VLOOKUP(R178,#REF!,2,0),"")</f>
        <v/>
      </c>
      <c r="R178" s="5"/>
      <c r="S178" s="4" t="str">
        <f>+IFERROR(VLOOKUP(T178,#REF!,2,0),"")</f>
        <v/>
      </c>
      <c r="T178" s="5"/>
      <c r="U178" s="6" t="str">
        <f>IFERROR((VLOOKUP(P178,#REF!,2,0)*VLOOKUP(R178,#REF!,2,0)*VLOOKUP(T178,#REF!,2,0)),"")</f>
        <v/>
      </c>
    </row>
    <row r="179" spans="1:21" ht="15" x14ac:dyDescent="0.25">
      <c r="A179" s="2"/>
      <c r="B179" s="2"/>
      <c r="C179" s="2"/>
      <c r="D179" s="2"/>
      <c r="E179" s="4" t="str">
        <f>IFERROR(+VLOOKUP(F179,Indexes!$A$2:$B$8,2,0),"")</f>
        <v/>
      </c>
      <c r="F179" s="5"/>
      <c r="G179" s="4" t="str">
        <f>+IFERROR(VLOOKUP(H179,Indexes!$C$2:$D$8,2,0),"")</f>
        <v/>
      </c>
      <c r="H179" s="5"/>
      <c r="I179" s="4" t="str">
        <f>+IFERROR(VLOOKUP(J179,Indexes!$E$2:$F$8,2,0),"")</f>
        <v/>
      </c>
      <c r="J179" s="5"/>
      <c r="K179" s="6" t="e">
        <f t="shared" si="2"/>
        <v>#VALUE!</v>
      </c>
      <c r="L179" s="2"/>
      <c r="M179" s="2"/>
      <c r="N179" s="2"/>
      <c r="O179" s="4" t="str">
        <f>IFERROR(VLOOKUP(P179,#REF!,2,0),"")</f>
        <v/>
      </c>
      <c r="P179" s="5"/>
      <c r="Q179" s="4" t="str">
        <f>+IFERROR(VLOOKUP(R179,#REF!,2,0),"")</f>
        <v/>
      </c>
      <c r="R179" s="5"/>
      <c r="S179" s="4" t="str">
        <f>+IFERROR(VLOOKUP(T179,#REF!,2,0),"")</f>
        <v/>
      </c>
      <c r="T179" s="5"/>
      <c r="U179" s="6" t="str">
        <f>IFERROR((VLOOKUP(P179,#REF!,2,0)*VLOOKUP(R179,#REF!,2,0)*VLOOKUP(T179,#REF!,2,0)),"")</f>
        <v/>
      </c>
    </row>
    <row r="180" spans="1:21" ht="15" x14ac:dyDescent="0.25">
      <c r="A180" s="2"/>
      <c r="B180" s="2"/>
      <c r="C180" s="2"/>
      <c r="D180" s="2"/>
      <c r="E180" s="4" t="str">
        <f>IFERROR(+VLOOKUP(F180,Indexes!$A$2:$B$8,2,0),"")</f>
        <v/>
      </c>
      <c r="F180" s="5"/>
      <c r="G180" s="4" t="str">
        <f>+IFERROR(VLOOKUP(H180,Indexes!$C$2:$D$8,2,0),"")</f>
        <v/>
      </c>
      <c r="H180" s="5"/>
      <c r="I180" s="4" t="str">
        <f>+IFERROR(VLOOKUP(J180,Indexes!$E$2:$F$8,2,0),"")</f>
        <v/>
      </c>
      <c r="J180" s="5"/>
      <c r="K180" s="6" t="e">
        <f t="shared" si="2"/>
        <v>#VALUE!</v>
      </c>
      <c r="L180" s="2"/>
      <c r="M180" s="2"/>
      <c r="N180" s="2"/>
      <c r="O180" s="4" t="str">
        <f>IFERROR(VLOOKUP(P180,#REF!,2,0),"")</f>
        <v/>
      </c>
      <c r="P180" s="5"/>
      <c r="Q180" s="4" t="str">
        <f>+IFERROR(VLOOKUP(R180,#REF!,2,0),"")</f>
        <v/>
      </c>
      <c r="R180" s="5"/>
      <c r="S180" s="4" t="str">
        <f>+IFERROR(VLOOKUP(T180,#REF!,2,0),"")</f>
        <v/>
      </c>
      <c r="T180" s="5"/>
      <c r="U180" s="6" t="str">
        <f>IFERROR((VLOOKUP(P180,#REF!,2,0)*VLOOKUP(R180,#REF!,2,0)*VLOOKUP(T180,#REF!,2,0)),"")</f>
        <v/>
      </c>
    </row>
    <row r="181" spans="1:21" ht="15" x14ac:dyDescent="0.25">
      <c r="A181" s="2"/>
      <c r="B181" s="2"/>
      <c r="C181" s="2"/>
      <c r="D181" s="2"/>
      <c r="E181" s="4" t="str">
        <f>IFERROR(+VLOOKUP(F181,Indexes!$A$2:$B$8,2,0),"")</f>
        <v/>
      </c>
      <c r="F181" s="5"/>
      <c r="G181" s="4" t="str">
        <f>+IFERROR(VLOOKUP(H181,Indexes!$C$2:$D$8,2,0),"")</f>
        <v/>
      </c>
      <c r="H181" s="5"/>
      <c r="I181" s="4" t="str">
        <f>+IFERROR(VLOOKUP(J181,Indexes!$E$2:$F$8,2,0),"")</f>
        <v/>
      </c>
      <c r="J181" s="5"/>
      <c r="K181" s="6" t="e">
        <f t="shared" si="2"/>
        <v>#VALUE!</v>
      </c>
      <c r="L181" s="2"/>
      <c r="M181" s="2"/>
      <c r="N181" s="2"/>
      <c r="O181" s="4" t="str">
        <f>IFERROR(VLOOKUP(P181,#REF!,2,0),"")</f>
        <v/>
      </c>
      <c r="P181" s="5"/>
      <c r="Q181" s="4" t="str">
        <f>+IFERROR(VLOOKUP(R181,#REF!,2,0),"")</f>
        <v/>
      </c>
      <c r="R181" s="5"/>
      <c r="S181" s="4" t="str">
        <f>+IFERROR(VLOOKUP(T181,#REF!,2,0),"")</f>
        <v/>
      </c>
      <c r="T181" s="5"/>
      <c r="U181" s="6" t="str">
        <f>IFERROR((VLOOKUP(P181,#REF!,2,0)*VLOOKUP(R181,#REF!,2,0)*VLOOKUP(T181,#REF!,2,0)),"")</f>
        <v/>
      </c>
    </row>
    <row r="182" spans="1:21" ht="15" x14ac:dyDescent="0.25">
      <c r="A182" s="2"/>
      <c r="B182" s="2"/>
      <c r="C182" s="2"/>
      <c r="D182" s="2"/>
      <c r="E182" s="4" t="str">
        <f>IFERROR(+VLOOKUP(F182,Indexes!$A$2:$B$8,2,0),"")</f>
        <v/>
      </c>
      <c r="F182" s="5"/>
      <c r="G182" s="4" t="str">
        <f>+IFERROR(VLOOKUP(H182,Indexes!$C$2:$D$8,2,0),"")</f>
        <v/>
      </c>
      <c r="H182" s="5"/>
      <c r="I182" s="4" t="str">
        <f>+IFERROR(VLOOKUP(J182,Indexes!$E$2:$F$8,2,0),"")</f>
        <v/>
      </c>
      <c r="J182" s="5"/>
      <c r="K182" s="6" t="e">
        <f t="shared" si="2"/>
        <v>#VALUE!</v>
      </c>
      <c r="L182" s="2"/>
      <c r="M182" s="2"/>
      <c r="N182" s="2"/>
      <c r="O182" s="4" t="str">
        <f>IFERROR(VLOOKUP(P182,#REF!,2,0),"")</f>
        <v/>
      </c>
      <c r="P182" s="5"/>
      <c r="Q182" s="4" t="str">
        <f>+IFERROR(VLOOKUP(R182,#REF!,2,0),"")</f>
        <v/>
      </c>
      <c r="R182" s="5"/>
      <c r="S182" s="4" t="str">
        <f>+IFERROR(VLOOKUP(T182,#REF!,2,0),"")</f>
        <v/>
      </c>
      <c r="T182" s="5"/>
      <c r="U182" s="6" t="str">
        <f>IFERROR((VLOOKUP(P182,#REF!,2,0)*VLOOKUP(R182,#REF!,2,0)*VLOOKUP(T182,#REF!,2,0)),"")</f>
        <v/>
      </c>
    </row>
    <row r="183" spans="1:21" ht="15" x14ac:dyDescent="0.25">
      <c r="A183" s="2"/>
      <c r="B183" s="2"/>
      <c r="C183" s="2"/>
      <c r="D183" s="2"/>
      <c r="E183" s="4" t="str">
        <f>IFERROR(+VLOOKUP(F183,Indexes!$A$2:$B$8,2,0),"")</f>
        <v/>
      </c>
      <c r="F183" s="5"/>
      <c r="G183" s="4" t="str">
        <f>+IFERROR(VLOOKUP(H183,Indexes!$C$2:$D$8,2,0),"")</f>
        <v/>
      </c>
      <c r="H183" s="5"/>
      <c r="I183" s="4" t="str">
        <f>+IFERROR(VLOOKUP(J183,Indexes!$E$2:$F$8,2,0),"")</f>
        <v/>
      </c>
      <c r="J183" s="5"/>
      <c r="K183" s="6" t="e">
        <f t="shared" si="2"/>
        <v>#VALUE!</v>
      </c>
      <c r="L183" s="2"/>
      <c r="M183" s="2"/>
      <c r="N183" s="2"/>
      <c r="O183" s="4" t="str">
        <f>IFERROR(VLOOKUP(P183,#REF!,2,0),"")</f>
        <v/>
      </c>
      <c r="P183" s="5"/>
      <c r="Q183" s="4" t="str">
        <f>+IFERROR(VLOOKUP(R183,#REF!,2,0),"")</f>
        <v/>
      </c>
      <c r="R183" s="5"/>
      <c r="S183" s="4" t="str">
        <f>+IFERROR(VLOOKUP(T183,#REF!,2,0),"")</f>
        <v/>
      </c>
      <c r="T183" s="5"/>
      <c r="U183" s="6" t="str">
        <f>IFERROR((VLOOKUP(P183,#REF!,2,0)*VLOOKUP(R183,#REF!,2,0)*VLOOKUP(T183,#REF!,2,0)),"")</f>
        <v/>
      </c>
    </row>
    <row r="184" spans="1:21" ht="15" x14ac:dyDescent="0.25">
      <c r="A184" s="2"/>
      <c r="B184" s="2"/>
      <c r="C184" s="2"/>
      <c r="D184" s="2"/>
      <c r="E184" s="4" t="str">
        <f>IFERROR(+VLOOKUP(F184,Indexes!$A$2:$B$8,2,0),"")</f>
        <v/>
      </c>
      <c r="F184" s="5"/>
      <c r="G184" s="4" t="str">
        <f>+IFERROR(VLOOKUP(H184,Indexes!$C$2:$D$8,2,0),"")</f>
        <v/>
      </c>
      <c r="H184" s="5"/>
      <c r="I184" s="4" t="str">
        <f>+IFERROR(VLOOKUP(J184,Indexes!$E$2:$F$8,2,0),"")</f>
        <v/>
      </c>
      <c r="J184" s="5"/>
      <c r="K184" s="6" t="e">
        <f t="shared" si="2"/>
        <v>#VALUE!</v>
      </c>
      <c r="L184" s="2"/>
      <c r="M184" s="2"/>
      <c r="N184" s="2"/>
      <c r="O184" s="4" t="str">
        <f>IFERROR(VLOOKUP(P184,#REF!,2,0),"")</f>
        <v/>
      </c>
      <c r="P184" s="5"/>
      <c r="Q184" s="4" t="str">
        <f>+IFERROR(VLOOKUP(R184,#REF!,2,0),"")</f>
        <v/>
      </c>
      <c r="R184" s="5"/>
      <c r="S184" s="4" t="str">
        <f>+IFERROR(VLOOKUP(T184,#REF!,2,0),"")</f>
        <v/>
      </c>
      <c r="T184" s="5"/>
      <c r="U184" s="6" t="str">
        <f>IFERROR((VLOOKUP(P184,#REF!,2,0)*VLOOKUP(R184,#REF!,2,0)*VLOOKUP(T184,#REF!,2,0)),"")</f>
        <v/>
      </c>
    </row>
    <row r="185" spans="1:21" ht="15" x14ac:dyDescent="0.25">
      <c r="A185" s="2"/>
      <c r="B185" s="2"/>
      <c r="C185" s="2"/>
      <c r="D185" s="2"/>
      <c r="E185" s="4" t="str">
        <f>IFERROR(+VLOOKUP(F185,Indexes!$A$2:$B$8,2,0),"")</f>
        <v/>
      </c>
      <c r="F185" s="5"/>
      <c r="G185" s="4" t="str">
        <f>+IFERROR(VLOOKUP(H185,Indexes!$C$2:$D$8,2,0),"")</f>
        <v/>
      </c>
      <c r="H185" s="5"/>
      <c r="I185" s="4" t="str">
        <f>+IFERROR(VLOOKUP(J185,Indexes!$E$2:$F$8,2,0),"")</f>
        <v/>
      </c>
      <c r="J185" s="5"/>
      <c r="K185" s="6" t="e">
        <f t="shared" si="2"/>
        <v>#VALUE!</v>
      </c>
      <c r="L185" s="2"/>
      <c r="M185" s="2"/>
      <c r="N185" s="2"/>
      <c r="O185" s="4" t="str">
        <f>IFERROR(VLOOKUP(P185,#REF!,2,0),"")</f>
        <v/>
      </c>
      <c r="P185" s="5"/>
      <c r="Q185" s="4" t="str">
        <f>+IFERROR(VLOOKUP(R185,#REF!,2,0),"")</f>
        <v/>
      </c>
      <c r="R185" s="5"/>
      <c r="S185" s="4" t="str">
        <f>+IFERROR(VLOOKUP(T185,#REF!,2,0),"")</f>
        <v/>
      </c>
      <c r="T185" s="5"/>
      <c r="U185" s="6" t="str">
        <f>IFERROR((VLOOKUP(P185,#REF!,2,0)*VLOOKUP(R185,#REF!,2,0)*VLOOKUP(T185,#REF!,2,0)),"")</f>
        <v/>
      </c>
    </row>
    <row r="186" spans="1:21" ht="15" x14ac:dyDescent="0.25">
      <c r="A186" s="2"/>
      <c r="B186" s="2"/>
      <c r="C186" s="2"/>
      <c r="D186" s="2"/>
      <c r="E186" s="4" t="str">
        <f>IFERROR(+VLOOKUP(F186,Indexes!$A$2:$B$8,2,0),"")</f>
        <v/>
      </c>
      <c r="F186" s="5"/>
      <c r="G186" s="4" t="str">
        <f>+IFERROR(VLOOKUP(H186,Indexes!$C$2:$D$8,2,0),"")</f>
        <v/>
      </c>
      <c r="H186" s="5"/>
      <c r="I186" s="4" t="str">
        <f>+IFERROR(VLOOKUP(J186,Indexes!$E$2:$F$8,2,0),"")</f>
        <v/>
      </c>
      <c r="J186" s="5"/>
      <c r="K186" s="6" t="e">
        <f t="shared" si="2"/>
        <v>#VALUE!</v>
      </c>
      <c r="L186" s="2"/>
      <c r="M186" s="2"/>
      <c r="N186" s="2"/>
      <c r="O186" s="4" t="str">
        <f>IFERROR(VLOOKUP(P186,#REF!,2,0),"")</f>
        <v/>
      </c>
      <c r="P186" s="5"/>
      <c r="Q186" s="4" t="str">
        <f>+IFERROR(VLOOKUP(R186,#REF!,2,0),"")</f>
        <v/>
      </c>
      <c r="R186" s="5"/>
      <c r="S186" s="4" t="str">
        <f>+IFERROR(VLOOKUP(T186,#REF!,2,0),"")</f>
        <v/>
      </c>
      <c r="T186" s="5"/>
      <c r="U186" s="6" t="str">
        <f>IFERROR((VLOOKUP(P186,#REF!,2,0)*VLOOKUP(R186,#REF!,2,0)*VLOOKUP(T186,#REF!,2,0)),"")</f>
        <v/>
      </c>
    </row>
    <row r="187" spans="1:21" ht="15" x14ac:dyDescent="0.25">
      <c r="A187" s="2"/>
      <c r="B187" s="2"/>
      <c r="C187" s="2"/>
      <c r="D187" s="2"/>
      <c r="E187" s="4" t="str">
        <f>IFERROR(+VLOOKUP(F187,Indexes!$A$2:$B$8,2,0),"")</f>
        <v/>
      </c>
      <c r="F187" s="5"/>
      <c r="G187" s="4" t="str">
        <f>+IFERROR(VLOOKUP(H187,Indexes!$C$2:$D$8,2,0),"")</f>
        <v/>
      </c>
      <c r="H187" s="5"/>
      <c r="I187" s="4" t="str">
        <f>+IFERROR(VLOOKUP(J187,Indexes!$E$2:$F$8,2,0),"")</f>
        <v/>
      </c>
      <c r="J187" s="5"/>
      <c r="K187" s="6" t="e">
        <f t="shared" si="2"/>
        <v>#VALUE!</v>
      </c>
      <c r="L187" s="2"/>
      <c r="M187" s="2"/>
      <c r="N187" s="2"/>
      <c r="O187" s="4" t="str">
        <f>IFERROR(VLOOKUP(P187,#REF!,2,0),"")</f>
        <v/>
      </c>
      <c r="P187" s="5"/>
      <c r="Q187" s="4" t="str">
        <f>+IFERROR(VLOOKUP(R187,#REF!,2,0),"")</f>
        <v/>
      </c>
      <c r="R187" s="5"/>
      <c r="S187" s="4" t="str">
        <f>+IFERROR(VLOOKUP(T187,#REF!,2,0),"")</f>
        <v/>
      </c>
      <c r="T187" s="5"/>
      <c r="U187" s="6" t="str">
        <f>IFERROR((VLOOKUP(P187,#REF!,2,0)*VLOOKUP(R187,#REF!,2,0)*VLOOKUP(T187,#REF!,2,0)),"")</f>
        <v/>
      </c>
    </row>
    <row r="188" spans="1:21" ht="15" x14ac:dyDescent="0.25">
      <c r="A188" s="2"/>
      <c r="B188" s="2"/>
      <c r="C188" s="2"/>
      <c r="D188" s="2"/>
      <c r="E188" s="4" t="str">
        <f>IFERROR(+VLOOKUP(F188,Indexes!$A$2:$B$8,2,0),"")</f>
        <v/>
      </c>
      <c r="F188" s="5"/>
      <c r="G188" s="4" t="str">
        <f>+IFERROR(VLOOKUP(H188,Indexes!$C$2:$D$8,2,0),"")</f>
        <v/>
      </c>
      <c r="H188" s="5"/>
      <c r="I188" s="4" t="str">
        <f>+IFERROR(VLOOKUP(J188,Indexes!$E$2:$F$8,2,0),"")</f>
        <v/>
      </c>
      <c r="J188" s="5"/>
      <c r="K188" s="6" t="e">
        <f t="shared" si="2"/>
        <v>#VALUE!</v>
      </c>
      <c r="L188" s="2"/>
      <c r="M188" s="2"/>
      <c r="N188" s="2"/>
      <c r="O188" s="4" t="str">
        <f>IFERROR(VLOOKUP(P188,#REF!,2,0),"")</f>
        <v/>
      </c>
      <c r="P188" s="5"/>
      <c r="Q188" s="4" t="str">
        <f>+IFERROR(VLOOKUP(R188,#REF!,2,0),"")</f>
        <v/>
      </c>
      <c r="R188" s="5"/>
      <c r="S188" s="4" t="str">
        <f>+IFERROR(VLOOKUP(T188,#REF!,2,0),"")</f>
        <v/>
      </c>
      <c r="T188" s="5"/>
      <c r="U188" s="6" t="str">
        <f>IFERROR((VLOOKUP(P188,#REF!,2,0)*VLOOKUP(R188,#REF!,2,0)*VLOOKUP(T188,#REF!,2,0)),"")</f>
        <v/>
      </c>
    </row>
    <row r="189" spans="1:21" ht="15" x14ac:dyDescent="0.25"/>
  </sheetData>
  <sheetProtection sheet="1" selectLockedCells="1"/>
  <autoFilter ref="D8:K188" xr:uid="{69B8435F-3E1B-4ABD-AC5E-0E5046DA243F}">
    <filterColumn colId="1" showButton="0"/>
    <filterColumn colId="3" showButton="0"/>
    <filterColumn colId="5" showButton="0"/>
  </autoFilter>
  <mergeCells count="83">
    <mergeCell ref="A1:U2"/>
    <mergeCell ref="A3:B4"/>
    <mergeCell ref="C3:U4"/>
    <mergeCell ref="A5:E5"/>
    <mergeCell ref="F5:K5"/>
    <mergeCell ref="M5:N5"/>
    <mergeCell ref="O5:Q5"/>
    <mergeCell ref="R5:U5"/>
    <mergeCell ref="A7:A9"/>
    <mergeCell ref="B7:B9"/>
    <mergeCell ref="C7:C9"/>
    <mergeCell ref="D7:K7"/>
    <mergeCell ref="L7:L9"/>
    <mergeCell ref="A6:B6"/>
    <mergeCell ref="C6:E6"/>
    <mergeCell ref="F6:J6"/>
    <mergeCell ref="K6:M6"/>
    <mergeCell ref="O6:U6"/>
    <mergeCell ref="S8:T9"/>
    <mergeCell ref="U8:U9"/>
    <mergeCell ref="A10:A11"/>
    <mergeCell ref="D10:D11"/>
    <mergeCell ref="L10:L11"/>
    <mergeCell ref="M10:M11"/>
    <mergeCell ref="M7:M9"/>
    <mergeCell ref="N7:U7"/>
    <mergeCell ref="D8:D9"/>
    <mergeCell ref="E8:F9"/>
    <mergeCell ref="G8:H9"/>
    <mergeCell ref="I8:J9"/>
    <mergeCell ref="K8:K9"/>
    <mergeCell ref="N8:N9"/>
    <mergeCell ref="O8:P9"/>
    <mergeCell ref="Q8:R9"/>
    <mergeCell ref="A12:A13"/>
    <mergeCell ref="D12:D13"/>
    <mergeCell ref="L12:L13"/>
    <mergeCell ref="M12:M13"/>
    <mergeCell ref="A14:A15"/>
    <mergeCell ref="D14:D15"/>
    <mergeCell ref="L14:L15"/>
    <mergeCell ref="M14:M15"/>
    <mergeCell ref="A16:A18"/>
    <mergeCell ref="D16:D18"/>
    <mergeCell ref="L16:L18"/>
    <mergeCell ref="M16:M18"/>
    <mergeCell ref="A20:A24"/>
    <mergeCell ref="D20:D24"/>
    <mergeCell ref="L20:L24"/>
    <mergeCell ref="M20:M24"/>
    <mergeCell ref="A25:A27"/>
    <mergeCell ref="L25:L26"/>
    <mergeCell ref="M25:M26"/>
    <mergeCell ref="A30:A31"/>
    <mergeCell ref="L30:L31"/>
    <mergeCell ref="M30:M31"/>
    <mergeCell ref="A32:A35"/>
    <mergeCell ref="L32:L35"/>
    <mergeCell ref="M32:M35"/>
    <mergeCell ref="A36:A38"/>
    <mergeCell ref="L36:L38"/>
    <mergeCell ref="M36:M38"/>
    <mergeCell ref="M39:M40"/>
    <mergeCell ref="A41:A42"/>
    <mergeCell ref="L41:L42"/>
    <mergeCell ref="M41:M42"/>
    <mergeCell ref="B41:B42"/>
    <mergeCell ref="A43:A44"/>
    <mergeCell ref="A49:A50"/>
    <mergeCell ref="L49:L50"/>
    <mergeCell ref="M49:M50"/>
    <mergeCell ref="B10:B11"/>
    <mergeCell ref="B14:B15"/>
    <mergeCell ref="B12:B13"/>
    <mergeCell ref="B20:B22"/>
    <mergeCell ref="B23:B24"/>
    <mergeCell ref="B16:B18"/>
    <mergeCell ref="B32:B35"/>
    <mergeCell ref="B25:B26"/>
    <mergeCell ref="B36:B38"/>
    <mergeCell ref="B39:B40"/>
    <mergeCell ref="A39:A40"/>
    <mergeCell ref="L39:L40"/>
  </mergeCells>
  <conditionalFormatting sqref="U10:U1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0:K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T10:T188 J10:J188" xr:uid="{E8E6D0B9-B8D0-4CD4-BC67-3282E625F885}">
      <formula1>#REF!</formula1>
    </dataValidation>
    <dataValidation type="list" allowBlank="1" showInputMessage="1" showErrorMessage="1" sqref="H10:H188 R10:R188 F10:F188 P10:P188" xr:uid="{14F15C3E-AC73-4AA7-91B6-E535DA7674C9}">
      <formula1>#REF!</formula1>
    </dataValidation>
  </dataValidations>
  <pageMargins left="0.70866141732283472" right="0.70866141732283472" top="0.74803149606299213" bottom="0.74803149606299213" header="0.31496062992125984" footer="0.31496062992125984"/>
  <pageSetup scale="28" fitToWidth="2" fitToHeight="0" orientation="portrait" horizontalDpi="300" verticalDpi="300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NIR">
                <anchor moveWithCells="1" sizeWithCells="1">
                  <from>
                    <xdr:col>0</xdr:col>
                    <xdr:colOff>657225</xdr:colOff>
                    <xdr:row>0</xdr:row>
                    <xdr:rowOff>104775</xdr:rowOff>
                  </from>
                  <to>
                    <xdr:col>1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parar">
                <anchor moveWithCells="1" sizeWithCells="1">
                  <from>
                    <xdr:col>1</xdr:col>
                    <xdr:colOff>657225</xdr:colOff>
                    <xdr:row>0</xdr:row>
                    <xdr:rowOff>95250</xdr:rowOff>
                  </from>
                  <to>
                    <xdr:col>2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Indexes</vt:lpstr>
      <vt:lpstr>FMEA</vt:lpstr>
      <vt:lpstr>FMEA!Área_de_impresión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Ruiz Gomez</dc:creator>
  <cp:lastModifiedBy>SEBASTIAN RUIZ GOMEZ</cp:lastModifiedBy>
  <cp:lastPrinted>2022-08-21T19:59:56Z</cp:lastPrinted>
  <dcterms:created xsi:type="dcterms:W3CDTF">2022-04-27T22:36:56Z</dcterms:created>
  <dcterms:modified xsi:type="dcterms:W3CDTF">2024-06-07T16:54:14Z</dcterms:modified>
</cp:coreProperties>
</file>